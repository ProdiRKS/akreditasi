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2026\Akreditasi RKS\"/>
    </mc:Choice>
  </mc:AlternateContent>
  <xr:revisionPtr revIDLastSave="0" documentId="8_{39EC6B4A-9D44-41F5-93AC-D3ECE56A209D}" xr6:coauthVersionLast="47" xr6:coauthVersionMax="47" xr10:uidLastSave="{00000000-0000-0000-0000-000000000000}"/>
  <bookViews>
    <workbookView xWindow="-120" yWindow="16080" windowWidth="29040" windowHeight="15720" xr2:uid="{3F8BCD3D-B5F9-4420-8E32-6B389D0CA5F4}"/>
  </bookViews>
  <sheets>
    <sheet name="Indikator Mutu LED" sheetId="1" r:id="rId1"/>
  </sheets>
  <definedNames>
    <definedName name="_xlnm._FilterDatabase" localSheetId="0" hidden="1">'Indikator Mutu LED'!$A$1:$AA$1001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9" i="1" l="1"/>
  <c r="C161" i="1" s="1"/>
  <c r="B151" i="1"/>
  <c r="B133" i="1"/>
  <c r="B105" i="1"/>
  <c r="B76" i="1"/>
  <c r="B17" i="1"/>
</calcChain>
</file>

<file path=xl/sharedStrings.xml><?xml version="1.0" encoding="utf-8"?>
<sst xmlns="http://schemas.openxmlformats.org/spreadsheetml/2006/main" count="607" uniqueCount="346">
  <si>
    <t>STANDAR MUTU PADA LEMBAR EVALUASI DIRI</t>
  </si>
  <si>
    <t>C1. BUDAYA MUTU</t>
  </si>
  <si>
    <t>Berikut standar mutu dan indikator kinerja yang terkait dengan:</t>
  </si>
  <si>
    <r>
      <t xml:space="preserve">A. Sistem Tata Kelola UPPS dan/atau PT berikut SOP. Sistem tata kelola mencakup </t>
    </r>
    <r>
      <rPr>
        <b/>
        <sz val="12"/>
        <color theme="1"/>
        <rFont val="Aptos Narrow"/>
        <family val="2"/>
      </rPr>
      <t xml:space="preserve">administrasi akademik, keuangan, SDM, </t>
    </r>
    <r>
      <rPr>
        <sz val="12"/>
        <color theme="1"/>
        <rFont val="Aptos Narrow"/>
        <family val="2"/>
      </rPr>
      <t>dan aspek lain di tingkat UPPS dan/atau PT.</t>
    </r>
  </si>
  <si>
    <t>Kriteria LAM Infokom</t>
  </si>
  <si>
    <t>Unit Kerja (PJ)</t>
  </si>
  <si>
    <t>No</t>
  </si>
  <si>
    <t>Pernyataan Standar</t>
  </si>
  <si>
    <t xml:space="preserve">Indikator </t>
  </si>
  <si>
    <t>Target</t>
  </si>
  <si>
    <t>Rujukan Draf Indikator Mutu</t>
  </si>
  <si>
    <t>Bukti Dukung LKPS</t>
  </si>
  <si>
    <t>Dokumen Bukti Dukung</t>
  </si>
  <si>
    <t>Sistem Tata Kelola</t>
  </si>
  <si>
    <t>Subbag OSDM TU</t>
  </si>
  <si>
    <t>Direktur bertanggung jawab atas tersusunnya sistem tata kelola internal melalui penetapan dan penerapan SOP pada bidang Akademik, Keuangan, SDM dan aspek lain dalam siklus PPEPP.</t>
  </si>
  <si>
    <t>Persentase SOP pada bidang Akademik, Keuangan, SDM dan aspek lain yang tersusun dan diterapkan</t>
  </si>
  <si>
    <t>=&gt; 70%</t>
  </si>
  <si>
    <t>SOP pada probis.poltekssn.ac.id</t>
  </si>
  <si>
    <t>Sistem Tata Kelola Administrasi Akademik</t>
  </si>
  <si>
    <t>Subbag AAK</t>
  </si>
  <si>
    <t>Direktur menetapkan sistem pengelolaan administrasi akademik berdasarkan peraturan yang berlaku</t>
  </si>
  <si>
    <t>Persentase realisasi kesesuaian penyelenggaraan pendidikan berdasarkan kalender akademik setiap tahun ajaran</t>
  </si>
  <si>
    <t>Persentase data perkuliahan dilaporkan ke PDDIKTI secara lengkap dan tepat waktu pada setiap semester berjalan</t>
  </si>
  <si>
    <t>Standar Pengelolaan Pembelajaran</t>
  </si>
  <si>
    <t>Sistem Tata Kelola Keuangan</t>
  </si>
  <si>
    <t>Subbag Renkeu</t>
  </si>
  <si>
    <t>Direktur menetapkan sistem pengelolaan keuangan berdasarkan prinsip tata kelola perguruan tinggi yang baik sesuai dengan ketentuan peraturan perundang-undangan</t>
  </si>
  <si>
    <t>Persentase realisasi anggaran tahunan</t>
  </si>
  <si>
    <r>
      <t xml:space="preserve">B. </t>
    </r>
    <r>
      <rPr>
        <b/>
        <sz val="12"/>
        <color theme="1"/>
        <rFont val="Aptos Narrow"/>
        <family val="2"/>
      </rPr>
      <t xml:space="preserve">Fungsi SPMI dengan SDM yang kompeten </t>
    </r>
    <r>
      <rPr>
        <sz val="12"/>
        <color theme="1"/>
        <rFont val="Aptos Narrow"/>
        <family val="2"/>
      </rPr>
      <t xml:space="preserve">
sebagai pelaksana di tingkat UPPS dan/atau PT.</t>
    </r>
  </si>
  <si>
    <t>Fungsi SPMI</t>
  </si>
  <si>
    <t>Pus Jamut</t>
  </si>
  <si>
    <t>Direktur menetapkan sistem manajemen penjaminan mutu internal</t>
  </si>
  <si>
    <t>Persentase ketersediaan dokumen standar mutu internal</t>
  </si>
  <si>
    <t>Persentase realisasi tindak lanjut hasil audit mutu internal sesuai dengan hasil RTM yang dilakukan unit kerja terkait sebagai auditee</t>
  </si>
  <si>
    <t>Kompetensi SDM pelaksana SPMI</t>
  </si>
  <si>
    <t>Direktur memastikan ketersediaan SDM pelaksana SPMI yang kompeten dan profesional</t>
  </si>
  <si>
    <t>Persentase jumlah auditor mutu internal yang memiliki sertifikat pelatihan atau sertifikasi kompetensi sebagai auditor</t>
  </si>
  <si>
    <t>Ok</t>
  </si>
  <si>
    <t>C2. RELEVANSI PENDIDIKAN</t>
  </si>
  <si>
    <r>
      <rPr>
        <sz val="12"/>
        <color theme="1"/>
        <rFont val="Aptos Narrow"/>
        <family val="2"/>
      </rPr>
      <t xml:space="preserve">A. </t>
    </r>
    <r>
      <rPr>
        <b/>
        <sz val="12"/>
        <color theme="1"/>
        <rFont val="Aptos Narrow"/>
        <family val="2"/>
      </rPr>
      <t>DTPR, penerimaan mahasiswa baru dalam
rangka perluasan akses, keragaman asal calon mahasiswa</t>
    </r>
    <r>
      <rPr>
        <sz val="12"/>
        <color theme="1"/>
        <rFont val="Aptos Narrow"/>
        <family val="2"/>
      </rPr>
      <t xml:space="preserve"> (misal: asal, suku, jenis
kelamin), </t>
    </r>
    <r>
      <rPr>
        <b/>
        <sz val="12"/>
        <color theme="1"/>
        <rFont val="Aptos Narrow"/>
        <family val="2"/>
      </rPr>
      <t>program afirmasi, dan calon mahasiswa berkebutuhan khusus</t>
    </r>
    <r>
      <rPr>
        <sz val="12"/>
        <color theme="1"/>
        <rFont val="Aptos Narrow"/>
        <family val="2"/>
      </rPr>
      <t xml:space="preserve"> ( tidak untuk
program doktor)</t>
    </r>
  </si>
  <si>
    <t>DTPR</t>
  </si>
  <si>
    <t>Jurusan-Prodi</t>
  </si>
  <si>
    <t>Direktur menetapkan rasio dosen terhadap mahasiswa sesuai peraturan yang berlaku</t>
  </si>
  <si>
    <t>Rasio DTPR terhadap jumlah mahasiswa pada program studi</t>
  </si>
  <si>
    <t>1:20</t>
  </si>
  <si>
    <t>Direktur memastikan terpenuhinya beban kerja dosen per semester</t>
  </si>
  <si>
    <t>Rata-rata beban kerja DTPR tiap semester</t>
  </si>
  <si>
    <t>14 SKS</t>
  </si>
  <si>
    <t>Direktur memastikan kualitas dan kompetensi dosen</t>
  </si>
  <si>
    <t>Jumlah DTPR berkualifikasi pendidikan doktor (S3)</t>
  </si>
  <si>
    <t>Jumlah DTPR dengan jabatan Lektor Kepala</t>
  </si>
  <si>
    <t>Persentase  DTPR yang telah  tersertifikasi dosen</t>
  </si>
  <si>
    <t>Persentase  DTPR yang memiliki sertifikat kompetensi/ profesional di bidang keamanan siber dan sandi</t>
  </si>
  <si>
    <t>Sistem penerimaan mahasiswa baru</t>
  </si>
  <si>
    <t>Direktur memastikan pelaksanaan sistem penerimaan mahasiswa baru sesuai dengan peraturan yang berlaku</t>
  </si>
  <si>
    <t>Persentase kesesuaian pelaksanaan seleksi penerimaan mahasiswa baru</t>
  </si>
  <si>
    <t>Subbag Humas</t>
  </si>
  <si>
    <t>Direktur memastikan meningkatnya animo calon mahasiswa setiap tahun</t>
  </si>
  <si>
    <t xml:space="preserve">Rasio jumlah mahasiswa yang diterima terhadap jumlah pendaftar
</t>
  </si>
  <si>
    <t>1:25</t>
  </si>
  <si>
    <t>Penerimaan mahasiswa baru - perluasan akses</t>
  </si>
  <si>
    <t>Direktur memastikan meningkatnya akses peserta SPMB</t>
  </si>
  <si>
    <t>Jumlah lokasi pelaksanaan SKD seleksi penerimaan mahasiswa baru</t>
  </si>
  <si>
    <t>Penerimaan mahasiswa baru - keragaman asal, suku, jenis kelamin</t>
  </si>
  <si>
    <t>Subbag AAK &gt;&gt; Humas</t>
  </si>
  <si>
    <t>Direktur memastikan meningkatnya keragaman mahasiswa baru</t>
  </si>
  <si>
    <t>Jumlah keragaman asal daerah (provinsi) mahasiswa baru</t>
  </si>
  <si>
    <t>Sarana prasarana pendidikan</t>
  </si>
  <si>
    <t>Subbag PART</t>
  </si>
  <si>
    <t>Direktur memastikan tersedianya sarana prasarana pendidikan</t>
  </si>
  <si>
    <t>Persentase pemenuhan kebutuhan prasarana pendidikan (ruang kelas, ruang laboratorium dan perpustakaan) sesuai standar</t>
  </si>
  <si>
    <t>Kasubbag AAK</t>
  </si>
  <si>
    <t>Persentase pemenuhan kebutuhan sarana pendidikan (ATK) untuk proses perkuliahan (teori)</t>
  </si>
  <si>
    <t>Standar Sarana dan Prasarana</t>
  </si>
  <si>
    <t>Kanit Labdu</t>
  </si>
  <si>
    <t>Persentase pemenuhan kebutuhan sarana pendidikan (perangkat laboratorium) untuk proses perkuliahan (praktik)</t>
  </si>
  <si>
    <t>Kanit Perpus</t>
  </si>
  <si>
    <t>Persentase jumlah koleksi (buku, e-book, jurnal, prosiding)  di perpustakaan yang sesuai dengan mata kuliah sebagai sarana pendidikan</t>
  </si>
  <si>
    <t>Biaya Pendidikan</t>
  </si>
  <si>
    <t>Subbag Ren Keu</t>
  </si>
  <si>
    <t>Direktur memastikan tersedianya anggaran penyelenggaraan pendidikan</t>
  </si>
  <si>
    <t>Persentase anggaran pendidikan dari total anggaran tridharma perguruan tinggi</t>
  </si>
  <si>
    <r>
      <t xml:space="preserve">B. </t>
    </r>
    <r>
      <rPr>
        <b/>
        <sz val="12"/>
        <color theme="1"/>
        <rFont val="Aptos Narrow"/>
        <family val="2"/>
      </rPr>
      <t>isi pembelajaran</t>
    </r>
    <r>
      <rPr>
        <sz val="12"/>
        <color theme="1"/>
        <rFont val="Aptos Narrow"/>
        <family val="2"/>
      </rPr>
      <t xml:space="preserve"> dan rancangan kurikulum </t>
    </r>
    <r>
      <rPr>
        <b/>
        <sz val="12"/>
        <color theme="1"/>
        <rFont val="Aptos Narrow"/>
        <family val="2"/>
      </rPr>
      <t>outcome-based education</t>
    </r>
    <r>
      <rPr>
        <sz val="12"/>
        <color theme="1"/>
        <rFont val="Aptos Narrow"/>
        <family val="2"/>
      </rPr>
      <t xml:space="preserve">, yang mencakup </t>
    </r>
    <r>
      <rPr>
        <b/>
        <sz val="12"/>
        <color theme="1"/>
        <rFont val="Aptos Narrow"/>
        <family val="2"/>
      </rPr>
      <t xml:space="preserve">soft dan hard competence </t>
    </r>
    <r>
      <rPr>
        <sz val="12"/>
        <color theme="1"/>
        <rFont val="Aptos Narrow"/>
        <family val="2"/>
      </rPr>
      <t xml:space="preserve">(memenuhi </t>
    </r>
    <r>
      <rPr>
        <b/>
        <sz val="12"/>
        <color theme="1"/>
        <rFont val="Aptos Narrow"/>
        <family val="2"/>
      </rPr>
      <t>KKNI level 6</t>
    </r>
    <r>
      <rPr>
        <sz val="12"/>
        <color theme="1"/>
        <rFont val="Aptos Narrow"/>
        <family val="2"/>
      </rPr>
      <t xml:space="preserve">), yang ditetapkan oleh perguruan tinggi serta </t>
    </r>
    <r>
      <rPr>
        <b/>
        <sz val="12"/>
        <color theme="1"/>
        <rFont val="Aptos Narrow"/>
        <family val="2"/>
      </rPr>
      <t>keterlibatan/masukan pemangku kepentingan</t>
    </r>
    <r>
      <rPr>
        <sz val="12"/>
        <color theme="1"/>
        <rFont val="Aptos Narrow"/>
        <family val="2"/>
      </rPr>
      <t xml:space="preserve"> (stakeholder) dalam penyusunannya.</t>
    </r>
  </si>
  <si>
    <t>Isi pembelajaran</t>
  </si>
  <si>
    <t>Prodi</t>
  </si>
  <si>
    <t>Direktur menetapkan bobot SKS Teori dan Praktikum untuk memenuhi capaian pembelajaran lulusan</t>
  </si>
  <si>
    <t>Persentase SKS praktik</t>
  </si>
  <si>
    <t>Kurikulum OBE -soft competence</t>
  </si>
  <si>
    <t>Direktur menetapkan capaian pembelajaran lulusan meliputi kemampuan soft skill</t>
  </si>
  <si>
    <r>
      <t xml:space="preserve">Jumlah </t>
    </r>
    <r>
      <rPr>
        <i/>
        <sz val="12"/>
        <color theme="1"/>
        <rFont val="Aptos Narrow"/>
        <family val="2"/>
      </rPr>
      <t>softskill</t>
    </r>
    <r>
      <rPr>
        <sz val="12"/>
        <color theme="1"/>
        <rFont val="Aptos Narrow"/>
        <family val="2"/>
      </rPr>
      <t xml:space="preserve"> yang menjadi Capaian Pembelajaran Lulusan</t>
    </r>
  </si>
  <si>
    <t>Kurikulum OBE - Hard competence - KKNI lv 6</t>
  </si>
  <si>
    <t>Direktur menetapkan capaian pembelajaran lulusan khususnya kompetensi hard skill sesuai dengan KKNI level 6</t>
  </si>
  <si>
    <t>Persentase kesesuaian CPL dengan KKNI level 6</t>
  </si>
  <si>
    <t>Pelibatan pemangku kepentingan dalam penyusunan kurikulum OBE</t>
  </si>
  <si>
    <t>Ketua program studi melibatkan pemangku kepentingan dalam proses penyusunan dan dan peninjauan kurikulum</t>
  </si>
  <si>
    <t>Jumlah pemangku kepentingan internal dan eksternal yang dilibatkan</t>
  </si>
  <si>
    <r>
      <t>C. fleksibilitas dalam proses pembelajaran (</t>
    </r>
    <r>
      <rPr>
        <b/>
        <sz val="12"/>
        <color theme="1"/>
        <rFont val="Aptos Narrow"/>
        <family val="2"/>
      </rPr>
      <t>luring, daring atau hibrida, CBL, PBL, micro-credential , rekognisi pembelajaran lampau (RPL)</t>
    </r>
    <r>
      <rPr>
        <sz val="12"/>
        <color theme="1"/>
        <rFont val="Aptos Narrow"/>
        <family val="2"/>
      </rPr>
      <t xml:space="preserve"> yang relevan dengan bidangnya keilmuan PS, </t>
    </r>
    <r>
      <rPr>
        <b/>
        <sz val="12"/>
        <color theme="1"/>
        <rFont val="Aptos Narrow"/>
        <family val="2"/>
      </rPr>
      <t>penciptaan suasana akademik</t>
    </r>
    <r>
      <rPr>
        <sz val="12"/>
        <color theme="1"/>
        <rFont val="Aptos Narrow"/>
        <family val="2"/>
      </rPr>
      <t xml:space="preserve">, dan </t>
    </r>
    <r>
      <rPr>
        <b/>
        <sz val="12"/>
        <color theme="1"/>
        <rFont val="Aptos Narrow"/>
        <family val="2"/>
      </rPr>
      <t>penilaian pembelajaran</t>
    </r>
    <r>
      <rPr>
        <sz val="12"/>
        <color theme="1"/>
        <rFont val="Aptos Narrow"/>
        <family val="2"/>
      </rPr>
      <t xml:space="preserve"> (termasuk kegiatan praktik) serta </t>
    </r>
    <r>
      <rPr>
        <b/>
        <sz val="12"/>
        <color theme="1"/>
        <rFont val="Aptos Narrow"/>
        <family val="2"/>
      </rPr>
      <t>pemenuhan beban belajar.</t>
    </r>
  </si>
  <si>
    <t>Fleksibilitas pembelajaran luring, daring dan hibrida</t>
  </si>
  <si>
    <t>Ketua Program studi menyelenggarakan pembelajaran melalui tatap muka, dalam jaringan (daring) serta kombinasi (hybrid).</t>
  </si>
  <si>
    <t>Persentase RPS mata kuliah  yang memuat penyelenggaraan perkuliahan tatap muka, daring atau hybrid.</t>
  </si>
  <si>
    <t>Fleksibilitas metode pembelajaran (CBL/PBL,dll)</t>
  </si>
  <si>
    <t xml:space="preserve">Ketua Program Studi memastikan setiap mata kuliah  menggunakan lebih dari satu metode pembelajaran </t>
  </si>
  <si>
    <t>Persentase RPS mata kuliah yang memuat lebih dari satu metode pembelajaran</t>
  </si>
  <si>
    <t>Pelaksanaan micro-credential</t>
  </si>
  <si>
    <t>Direktur memastikan  setiap lulusan memiliki minimal satu sertifikat kompetensi/profesi/ industri</t>
  </si>
  <si>
    <t>Jumlah sertifikat kompetensi/profesi/ industri yang dimiliki setiap lulusan</t>
  </si>
  <si>
    <t>Standar Kompetensi Lulusan</t>
  </si>
  <si>
    <t>Unit Bahasa</t>
  </si>
  <si>
    <t>Persentase lulusan  yang mendapatkan sertifikat kompetensi kemampuan berbahasa Inggris tiap tahunnya</t>
  </si>
  <si>
    <t>Rekognisi pembelajaran lampau (RPL)</t>
  </si>
  <si>
    <t>Direktur menetapkan rekognisi pembelajaran lampau untuk mahasiswa pertukaran pelajar</t>
  </si>
  <si>
    <t>Jumlah SKS yang dapat disetarakan pada program pertukaran pelajar mahasiswa</t>
  </si>
  <si>
    <t>Penciptaan suasana akademik</t>
  </si>
  <si>
    <t>Direktur memastikan terciptanya suasana akademik yang baik di lingkungan kampus</t>
  </si>
  <si>
    <t xml:space="preserve"> Jumlah keragaman disiplin ilmu dalam kuliah umum tiap tahun</t>
  </si>
  <si>
    <t>Pusat Jamut</t>
  </si>
  <si>
    <t>Persentase ketercapaian indikator budaya mutu</t>
  </si>
  <si>
    <t>Penilaian pembelajaran</t>
  </si>
  <si>
    <t>Ketua Program Studi memastikan penilaian pembelajaran dilaksanakan secara akuntabel dan transparan</t>
  </si>
  <si>
    <t>Persentase jumlah mata kuliah yang dilengkapi instrumen dan teknik penilaian sesuai CPMK yang akan diukur</t>
  </si>
  <si>
    <t>Persentase jumlah mata kuliah yang dilengkapi rubrik penilaian untuk mengukur ketercapaian CPMK</t>
  </si>
  <si>
    <t>Penilaian Praktik</t>
  </si>
  <si>
    <t>Persentase jumlah mata kuliah dengan SKS praktik yang dilengkapi dengan laporan praktik untuk penilaian ketercapaian CPMK</t>
  </si>
  <si>
    <t>Unit PMK</t>
  </si>
  <si>
    <t>Ketua Unit PMK memastikan penilaian aspek pengasuhan (sikap dan kesamaptaan) dilaksanakan secara akuntabel dan transparan</t>
  </si>
  <si>
    <t>Persentase jumlah indikator penilaian aspek pengasuhan yang dilengkapi instrumen dan teknik penilaian.</t>
  </si>
  <si>
    <t>Persentase hasil penilaian aspek pengasuhan yang disampaikan kepada mahasiswa.</t>
  </si>
  <si>
    <t>Direktur menetapkan keberhasilan studi mahasiswa setiap tahun</t>
  </si>
  <si>
    <t>Persentase mahasiswa dengan nilai IPS minimal 2,75</t>
  </si>
  <si>
    <t>Tidak ada --- new Standar Kompetensi Lulusan</t>
  </si>
  <si>
    <t>Rata-rata IPK mahasiswa yang lulus</t>
  </si>
  <si>
    <t>Rata-rata Nilai Sikap dan Perilaku yang lulus</t>
  </si>
  <si>
    <t>Rata-rata Nilai Kesemaptaan yang lulus</t>
  </si>
  <si>
    <t>Pemenuhan beban belajar</t>
  </si>
  <si>
    <t>Direktur menetapkan masa dan beban belajar penyelenggaraan pendidikan sarjana terapan</t>
  </si>
  <si>
    <t>Persentase lulusan yang menyelesaikan pendidikan selama 8 semester</t>
  </si>
  <si>
    <t>Jumlah beban belajar selama 8 semester</t>
  </si>
  <si>
    <t>152 SKS</t>
  </si>
  <si>
    <r>
      <t xml:space="preserve">D. </t>
    </r>
    <r>
      <rPr>
        <b/>
        <sz val="12"/>
        <color theme="1"/>
        <rFont val="Aptos Narrow"/>
        <family val="2"/>
      </rPr>
      <t xml:space="preserve">kompetensi lulusan </t>
    </r>
    <r>
      <rPr>
        <sz val="12"/>
        <color theme="1"/>
        <rFont val="Aptos Narrow"/>
        <family val="2"/>
      </rPr>
      <t xml:space="preserve">yang dapat dinilai dari
</t>
    </r>
    <r>
      <rPr>
        <b/>
        <sz val="12"/>
        <color theme="1"/>
        <rFont val="Aptos Narrow"/>
        <family val="2"/>
      </rPr>
      <t>pengakuan</t>
    </r>
    <r>
      <rPr>
        <sz val="12"/>
        <color theme="1"/>
        <rFont val="Aptos Narrow"/>
        <family val="2"/>
      </rPr>
      <t xml:space="preserve"> (rekognisi), dan </t>
    </r>
    <r>
      <rPr>
        <b/>
        <sz val="12"/>
        <color theme="1"/>
        <rFont val="Aptos Narrow"/>
        <family val="2"/>
      </rPr>
      <t xml:space="preserve">apresiasi kompetensi lulusan </t>
    </r>
    <r>
      <rPr>
        <sz val="12"/>
        <color theme="1"/>
        <rFont val="Aptos Narrow"/>
        <family val="2"/>
      </rPr>
      <t>oleh masyarakat dunia
usaha, dunia industri, dan dunia kerja (DUDIKA),</t>
    </r>
    <r>
      <rPr>
        <b/>
        <sz val="12"/>
        <color theme="1"/>
        <rFont val="Aptos Narrow"/>
        <family val="2"/>
      </rPr>
      <t xml:space="preserve"> sebaran kerja lulusan</t>
    </r>
    <r>
      <rPr>
        <sz val="12"/>
        <color theme="1"/>
        <rFont val="Aptos Narrow"/>
        <family val="2"/>
      </rPr>
      <t xml:space="preserve"> (lokal,
nasional, internasional), prestasi mahasiswa</t>
    </r>
  </si>
  <si>
    <t>Rekognisi/pengakuan lulusan</t>
  </si>
  <si>
    <t>Direktur menetapkan predikat kelulusan mahasiswa</t>
  </si>
  <si>
    <t>Persentase jumlah lulusan penerima predikat pujian tiap tahun akademik</t>
  </si>
  <si>
    <t>Standar Penilaian Pembelajaran (100)</t>
  </si>
  <si>
    <t>Direktur memastikan lulusan memperoleh pengakuan dari DUDIKA</t>
  </si>
  <si>
    <t>Persentase lulusan yang memperoleh pengakuan (jabatan) dari DUDIKA dalam 2 tahun setelah lulus</t>
  </si>
  <si>
    <t>Apresiasi kompetensi lulusan oleh DUDIKA</t>
  </si>
  <si>
    <t>Direktur memastikan terlaksananya survei kepuasan pengguna lulusan oleh DUDIKA setiap tahun</t>
  </si>
  <si>
    <t xml:space="preserve">Persentase kepuasan pengguna lulusan mengukur kualitas kerja lulusan tahun sebelumnya </t>
  </si>
  <si>
    <t>Standar Kompetensi Lulusan (20)</t>
  </si>
  <si>
    <t>Sebaran kerja lulusan</t>
  </si>
  <si>
    <t>Direktur memastikan lulusan memperoleh pekerjaan pada bidang yang relevan dengan program studi dalam waktu tunggu yang sesuai dengan standar institusi.</t>
  </si>
  <si>
    <t>Persentase lulusan yang bekerja pada bidang yang relevan dengan program studi</t>
  </si>
  <si>
    <t>Standar Kompetensi Lulusan (16)</t>
  </si>
  <si>
    <t>Persentase sebaran lulusan yang bekerja di organisasi skala nasional</t>
  </si>
  <si>
    <t>Rata-rata rentang masa tunggu lulusan memperoleh pekerjaan</t>
  </si>
  <si>
    <t>0 tahun</t>
  </si>
  <si>
    <t>Standar Kompetensi Lulusan (18)</t>
  </si>
  <si>
    <t>Prestasi Mahasiswa</t>
  </si>
  <si>
    <t>Unit PMk</t>
  </si>
  <si>
    <t>Direktur memastikan pencapaian prestasi akademik dan non akademik mahasiswa tiap tahunnya</t>
  </si>
  <si>
    <t>Jumlah prestasi akademik dan non akademik  tingkat nasional tiap tahun</t>
  </si>
  <si>
    <t>Standar Mahasiswa (314, 316)</t>
  </si>
  <si>
    <t>Jumlah prestasi adakemik dan non-akademik tingkat internasional  tiap tahun</t>
  </si>
  <si>
    <t>ok</t>
  </si>
  <si>
    <t>C3. RELEVANSI PENELITIAN</t>
  </si>
  <si>
    <r>
      <t xml:space="preserve">A. </t>
    </r>
    <r>
      <rPr>
        <b/>
        <sz val="12"/>
        <color theme="1"/>
        <rFont val="Aptos Narrow"/>
        <family val="2"/>
      </rPr>
      <t>sarana dan prasarana penelitian, DTPR,</t>
    </r>
    <r>
      <rPr>
        <sz val="12"/>
        <color theme="1"/>
        <rFont val="Aptos Narrow"/>
        <family val="2"/>
      </rPr>
      <t xml:space="preserve"> dan
</t>
    </r>
    <r>
      <rPr>
        <b/>
        <sz val="12"/>
        <color theme="1"/>
        <rFont val="Aptos Narrow"/>
        <family val="2"/>
      </rPr>
      <t>pembiayaan penelitian,</t>
    </r>
    <r>
      <rPr>
        <sz val="12"/>
        <color theme="1"/>
        <rFont val="Aptos Narrow"/>
        <family val="2"/>
      </rPr>
      <t xml:space="preserve"> dan </t>
    </r>
    <r>
      <rPr>
        <b/>
        <sz val="12"/>
        <color theme="1"/>
        <rFont val="Aptos Narrow"/>
        <family val="2"/>
      </rPr>
      <t>peta jalan penelitian</t>
    </r>
    <r>
      <rPr>
        <sz val="12"/>
        <color theme="1"/>
        <rFont val="Aptos Narrow"/>
        <family val="2"/>
      </rPr>
      <t xml:space="preserve"> dan </t>
    </r>
    <r>
      <rPr>
        <b/>
        <sz val="12"/>
        <color theme="1"/>
        <rFont val="Aptos Narrow"/>
        <family val="2"/>
      </rPr>
      <t>pengembangan teknologi tepat
guna.</t>
    </r>
  </si>
  <si>
    <t>Sarana prasarana penelitian</t>
  </si>
  <si>
    <t>Direktur memastikan ketersediaan sarana prasarana penelitian dosen</t>
  </si>
  <si>
    <t>Persentase pemenuhan kebutuhan prasarana penelitian (ruang penelitian dan laboratorium penelitian) sesuai kelompok keilmuan</t>
  </si>
  <si>
    <t>Standar Masukan Penelitian (273)</t>
  </si>
  <si>
    <t>Pus PPM</t>
  </si>
  <si>
    <t>Persentase pemenuhan kebutuhan sarana penelitian (perangkat dan instrumen penelitian)</t>
  </si>
  <si>
    <t>Penelitian DTPR</t>
  </si>
  <si>
    <t>Kepala Pusat PPM memastikan setiap dosen melaksanakan penelitian sesuai dengan Rencana Induk Penelitian (RIP) dan surat penugasan</t>
  </si>
  <si>
    <t>Jumlah penelitian  yang dilaksanakan dosen setiap tahun sesuai dengan RIP</t>
  </si>
  <si>
    <t>Standar Proses Penelitian (275)</t>
  </si>
  <si>
    <t>Persentase kegiatan penelitian dosen  dengan DTPR sebagai ketua tim peneliti</t>
  </si>
  <si>
    <t>Standar Proses Penelitian (271)</t>
  </si>
  <si>
    <t>Pembiayaan penelitian</t>
  </si>
  <si>
    <t>Direktur menjamin alokasi dana yang memadai, transparan, dan dapat dipertanggungjawabkan untuk mendukung kegiatan penelitian setiap tahun</t>
  </si>
  <si>
    <t>Persentase anggaran penelitian tiap tahun terhadap anggaran tridharma perguruan tinggi</t>
  </si>
  <si>
    <t>Standar Masukan Penelitian (274)</t>
  </si>
  <si>
    <t>Peta jalan penelitian</t>
  </si>
  <si>
    <t>Direktur menetapkan peta jalan penelitian yang diketahui oleh seluruh civitas akademik</t>
  </si>
  <si>
    <t>Jumlah kegiatan sosialisasi RIP dan ketersediaan anggaran penelitian Dosen tiap tahun</t>
  </si>
  <si>
    <t>Tidak ada --- new Standar Masukan Penelitian</t>
  </si>
  <si>
    <t>Pengembangan teknologi tepat guna</t>
  </si>
  <si>
    <t xml:space="preserve">Kepala Pusat PPM memastikan terdapat penelitian Dosen yang menghasilkan teknologi tepat guna </t>
  </si>
  <si>
    <t>Persentase penelitian Dosen berupa pengembangan teknologi  tiap tahun</t>
  </si>
  <si>
    <t>Standar Luaran Penelitian (263)</t>
  </si>
  <si>
    <t>Persentase penelitian tepat guna berdasarkan jumlah dokumen adopsi hasil penelitian ke DUDIKA</t>
  </si>
  <si>
    <t>Standar Luaran Penelitian (261)</t>
  </si>
  <si>
    <r>
      <t xml:space="preserve">B. </t>
    </r>
    <r>
      <rPr>
        <b/>
        <sz val="12"/>
        <color theme="1"/>
        <rFont val="Aptos Narrow"/>
        <family val="2"/>
      </rPr>
      <t>implementasi peta jalan penelitian</t>
    </r>
    <r>
      <rPr>
        <sz val="12"/>
        <color theme="1"/>
        <rFont val="Aptos Narrow"/>
        <family val="2"/>
      </rPr>
      <t xml:space="preserve">, </t>
    </r>
    <r>
      <rPr>
        <b/>
        <sz val="12"/>
        <color theme="1"/>
        <rFont val="Aptos Narrow"/>
        <family val="2"/>
      </rPr>
      <t>pelibatan
mahasiswa</t>
    </r>
    <r>
      <rPr>
        <sz val="12"/>
        <color theme="1"/>
        <rFont val="Aptos Narrow"/>
        <family val="2"/>
      </rPr>
      <t xml:space="preserve"> berdasarkan visi misi Perguruan Tinggi dan kebutuhan
masyarakat/DUDIKA.</t>
    </r>
  </si>
  <si>
    <t>Implementasi peta jalan penelitian</t>
  </si>
  <si>
    <t>Kepala Pusat PPM memastikan penelitian dosen telah sesuai dengan RIP</t>
  </si>
  <si>
    <t>Persentase kesesuaian topik penelitian dosen dengan Rencana Induk Penelitian tiap tahun</t>
  </si>
  <si>
    <t>Standar Proses Penelitian (269)</t>
  </si>
  <si>
    <t>pelibatan mahasiswa pada penelitian dosen sesuai visi misi dan kebutuhan dudika</t>
  </si>
  <si>
    <t>Kepala Pusat PPM memastikan keterlibatan mahasiswa pada penelitian dosen yang sesuai dengan Visi Misi PoltekSSN dan kebutuhan DUDIKA</t>
  </si>
  <si>
    <t>Persentase keterlibatan mahasiswa dalam kegiatan penelitian Dosen yang sesuai dengan Visi Misi PoltekSSN</t>
  </si>
  <si>
    <t>Standar Proses Penelitian (270)</t>
  </si>
  <si>
    <t xml:space="preserve">Persentase keterlibatan mahasiswa dalam kegiatan penelitian Dosen yang menggunakan lokus untuk memenuhi kebutuhan DUDIKA </t>
  </si>
  <si>
    <t>Tidak ada --- New Standar Proses Penelitian</t>
  </si>
  <si>
    <r>
      <t xml:space="preserve">C. perolehan </t>
    </r>
    <r>
      <rPr>
        <b/>
        <sz val="12"/>
        <color theme="1"/>
        <rFont val="Aptos Narrow"/>
        <family val="2"/>
      </rPr>
      <t>hibah penelitian</t>
    </r>
    <r>
      <rPr>
        <sz val="12"/>
        <color theme="1"/>
        <rFont val="Aptos Narrow"/>
        <family val="2"/>
      </rPr>
      <t xml:space="preserve">, </t>
    </r>
    <r>
      <rPr>
        <b/>
        <sz val="12"/>
        <color theme="1"/>
        <rFont val="Aptos Narrow"/>
        <family val="2"/>
      </rPr>
      <t xml:space="preserve">kerjasama
penelitian, Produk / publikasi </t>
    </r>
    <r>
      <rPr>
        <sz val="12"/>
        <color theme="1"/>
        <rFont val="Aptos Narrow"/>
        <family val="2"/>
      </rPr>
      <t xml:space="preserve">baik lingkup lokal, nasional, dan internasional,
</t>
    </r>
    <r>
      <rPr>
        <b/>
        <sz val="12"/>
        <color theme="1"/>
        <rFont val="Aptos Narrow"/>
        <family val="2"/>
      </rPr>
      <t>perolehan HKI, serta keberlanjutan penelitian.</t>
    </r>
  </si>
  <si>
    <t>Perolehan hibah penelitian</t>
  </si>
  <si>
    <t>Direktur menetapkan keterlibatan DTPR dalam kegiatan Penelitian Dosen dengan sumber pendanaan dari hibah</t>
  </si>
  <si>
    <t>Persentase kegiatan penelitian dosen yang didanai dari hibah</t>
  </si>
  <si>
    <t>Tidak ada --- New Standar Masukan Penelitian</t>
  </si>
  <si>
    <t>Kerjasama penelitian</t>
  </si>
  <si>
    <t>Kepala Pusat PPM memastikan keterlibatan mitra kerjasama baik dari sektor pemerintah, swasta, maupun komunitas, untuk meningkatkan efektivitas dan dampaknya</t>
  </si>
  <si>
    <t xml:space="preserve">Jumlah Perjanjian Kerjasama (PKS) pada lingkup penelitian Dosen </t>
  </si>
  <si>
    <t>Standar Proses Penelitian (266)</t>
  </si>
  <si>
    <t>Realisasi kerjasama penelitian</t>
  </si>
  <si>
    <t>Persentase realisasi kerjasama dalam lingkup penelitian Dosen tiap tahun</t>
  </si>
  <si>
    <t>Publikasi</t>
  </si>
  <si>
    <t xml:space="preserve">Direktur memastikan dosen  melaksanakan publikasi hasil penelitian pada jurnal atau prosiding baik lingkup nasional maupun internasional </t>
  </si>
  <si>
    <t xml:space="preserve">Persentase jumlah DTPR yang melakukan publikasi pada lingkup internasional per tahun </t>
  </si>
  <si>
    <t>Standar Luaran Penelitian (262)</t>
  </si>
  <si>
    <t xml:space="preserve">Persentase jumlah DTPR yang melakukan publikasi pada lingkup nasional per tahun </t>
  </si>
  <si>
    <t>Perolehan HKI produk penelitian</t>
  </si>
  <si>
    <t>Kepala Pusat PPM memfasilitasi proses pengajuan dan kepemilikan hak atas kekayaan intelektual atas hasil penelitian dosen sesuai dengan peraturan yang berlaku</t>
  </si>
  <si>
    <t>Jumlah sertifikat HAKI hasil penelitian dosen yang diperoleh setiap tahun</t>
  </si>
  <si>
    <t>Standar Proses Penelitian (265)</t>
  </si>
  <si>
    <t>Keberlanjutan penelitian</t>
  </si>
  <si>
    <t>Kepala Pusat PPM memastikan keberlanjutan hasil penelitian dengan topik yang sesuai dengan RIP</t>
  </si>
  <si>
    <t>Persentase jumlah keberlanjutan penelitian dosen berdasarkan topik</t>
  </si>
  <si>
    <t>Standar Proses Penelitian (272)</t>
  </si>
  <si>
    <t>OK</t>
  </si>
  <si>
    <t>C4. RELEVANSI PENGABDIAN KEPADA MASYARAKAT</t>
  </si>
  <si>
    <r>
      <t xml:space="preserve">A. </t>
    </r>
    <r>
      <rPr>
        <b/>
        <sz val="12"/>
        <color theme="1"/>
        <rFont val="Aptos Narrow"/>
        <family val="2"/>
      </rPr>
      <t>sarana dan prasarana PkM, DTPR</t>
    </r>
    <r>
      <rPr>
        <sz val="12"/>
        <color theme="1"/>
        <rFont val="Aptos Narrow"/>
        <family val="2"/>
      </rPr>
      <t xml:space="preserve">, dan
</t>
    </r>
    <r>
      <rPr>
        <b/>
        <sz val="12"/>
        <color theme="1"/>
        <rFont val="Aptos Narrow"/>
        <family val="2"/>
      </rPr>
      <t>pembiayaan PkM, dan peta jalan PkM (layanan kepakaran</t>
    </r>
    <r>
      <rPr>
        <sz val="12"/>
        <color theme="1"/>
        <rFont val="Aptos Narrow"/>
        <family val="2"/>
      </rPr>
      <t xml:space="preserve">) dalam bidang </t>
    </r>
    <r>
      <rPr>
        <b/>
        <sz val="12"/>
        <color theme="1"/>
        <rFont val="Aptos Narrow"/>
        <family val="2"/>
      </rPr>
      <t>teknologi
tepat guna yang diadopsi masyarakat</t>
    </r>
    <r>
      <rPr>
        <sz val="12"/>
        <color theme="1"/>
        <rFont val="Aptos Narrow"/>
        <family val="2"/>
      </rPr>
      <t xml:space="preserve"> dan</t>
    </r>
    <r>
      <rPr>
        <b/>
        <sz val="12"/>
        <color theme="1"/>
        <rFont val="Aptos Narrow"/>
        <family val="2"/>
      </rPr>
      <t xml:space="preserve"> berkelanjutan (sustainable).</t>
    </r>
  </si>
  <si>
    <t>Sarana dan prasarana PKM</t>
  </si>
  <si>
    <t>Direktur memastikan ketersediaan sarana prasarana PKM dosen</t>
  </si>
  <si>
    <t>Persentase pemenuhan kebutuhan prasarana PKM dosen (ruang ekspo) sesuai kelompok keilmuan</t>
  </si>
  <si>
    <t>Standar Masukan PKM (292)</t>
  </si>
  <si>
    <t>Persentase pemenuhan kebutuhan sarana PKM dosen (perangkat dan instrumen PKM)</t>
  </si>
  <si>
    <t>PKM DTPR</t>
  </si>
  <si>
    <t>Kepala Pusat PPM memastikan setiap dosen melaksanakan PKM sesuai dengan Rencana Induk PKM (RIPKM) dan surat penugasan</t>
  </si>
  <si>
    <t>Jumlah PKM yang dilaksanakan dosen setiap tahun sesuai dengan RIPKM</t>
  </si>
  <si>
    <t>Standar Proses PKM (294)</t>
  </si>
  <si>
    <t>Persentase kegiatan PKM dengan DTPR sebagai ketua tim pengabdi</t>
  </si>
  <si>
    <t>Standar Proses PKM (290)</t>
  </si>
  <si>
    <t>Persentase keterlibatan mahasiswa dalam kegiatan PKM dosen</t>
  </si>
  <si>
    <t>Standar Proses PKM (289)</t>
  </si>
  <si>
    <t>Pembiayaan PKM</t>
  </si>
  <si>
    <t>Direktur menetapkan alokasi dana untuk mendukung kegiatan PKM Dosen tiap tahun</t>
  </si>
  <si>
    <t>Persentase anggaran PKM dosen setiap tahun terhadap total anggaran tridharma perguruan tinggi</t>
  </si>
  <si>
    <t>Standar Masukan PKM (293)</t>
  </si>
  <si>
    <t>Peta Jalan PKM</t>
  </si>
  <si>
    <t>Kepala Pusat PPM memastikan PKM dosen telah sesuai dengan RIPKM</t>
  </si>
  <si>
    <t>Persentase kesesuaian topik PKM dosen dengan RIPKM tiap tahun</t>
  </si>
  <si>
    <t>Standar Proses PKM (288)</t>
  </si>
  <si>
    <t>Layanan Kepakaran bidang keamanan siber dan sandi</t>
  </si>
  <si>
    <t>Direktur menetapkan DTPR yang melaksanakan layanan kepakaran sesuai dengan bidang ilmunya dalam rangka pelaksanaan PKM</t>
  </si>
  <si>
    <t>Persentase pemenuhan kebutuhan layanan kepakaran yang terlaksana tiap tahun</t>
  </si>
  <si>
    <t>Tidak ada --- New Standar Proses PKM</t>
  </si>
  <si>
    <t>PKM teknologi tepat guna yang diadopsi masyarakat</t>
  </si>
  <si>
    <t>Kepala Pusat PPM memastikan terdapat kegiatan PKM dosen berupa teknologi tepat guna dalam rangka penerapan ilmu pengetahuan dan teknologi</t>
  </si>
  <si>
    <t>Persentase kegiatan PKM dosen berupa teknologi tepat guna dan diadopsi masyarakat</t>
  </si>
  <si>
    <t>Standar Proses PKM (282)</t>
  </si>
  <si>
    <t>Keberlanjutan PKM teknologi tepat guna</t>
  </si>
  <si>
    <t>Kepala Pusat PPM memastikan terdapat kegiatan PKM dosen berupa teknologi tepat guna yang berlajut pada tahun berikutnya</t>
  </si>
  <si>
    <t>Jumlah kegiatan PKM dosen berupa teknologi tepat guna dan berlanjut pada tahun berikutnya</t>
  </si>
  <si>
    <t>Standar Luaran PKM (280)</t>
  </si>
  <si>
    <r>
      <t xml:space="preserve">B. </t>
    </r>
    <r>
      <rPr>
        <b/>
        <sz val="12"/>
        <color theme="1"/>
        <rFont val="Aptos Narrow"/>
        <family val="2"/>
      </rPr>
      <t>pelaksanaan layanan kepakaran yang
akuntabel dan profesional</t>
    </r>
    <r>
      <rPr>
        <sz val="12"/>
        <color theme="1"/>
        <rFont val="Aptos Narrow"/>
        <family val="2"/>
      </rPr>
      <t xml:space="preserve"> (sertifikasi/lisensi individu/lembaga) pada tingkat lokal,
nasional, dan internasional, pada sektor pemerintah dan swasta</t>
    </r>
  </si>
  <si>
    <t>Layanan kepakaran yang akuntabel dan profesional</t>
  </si>
  <si>
    <t>Direktur memastikan akuntabilitas dan profesionalitas layanan kepakaran DTPR</t>
  </si>
  <si>
    <t>Persentase kesesuaian kompetensi DTPR terhadap kebutuhan layanan kepakaran</t>
  </si>
  <si>
    <t>Tidak ada --- Standar Masukan PkM</t>
  </si>
  <si>
    <r>
      <t xml:space="preserve">C. </t>
    </r>
    <r>
      <rPr>
        <b/>
        <sz val="12"/>
        <color theme="1"/>
        <rFont val="Aptos Narrow"/>
        <family val="2"/>
      </rPr>
      <t>perolehan hibah PkM, kerjasama PkM,</t>
    </r>
    <r>
      <rPr>
        <sz val="12"/>
        <color theme="1"/>
        <rFont val="Aptos Narrow"/>
        <family val="2"/>
      </rPr>
      <t xml:space="preserve">
</t>
    </r>
    <r>
      <rPr>
        <b/>
        <sz val="12"/>
        <color theme="1"/>
        <rFont val="Aptos Narrow"/>
        <family val="2"/>
      </rPr>
      <t xml:space="preserve">diseminasi </t>
    </r>
    <r>
      <rPr>
        <sz val="12"/>
        <color theme="1"/>
        <rFont val="Aptos Narrow"/>
        <family val="2"/>
      </rPr>
      <t xml:space="preserve">baik lingkup lokal, nasional, dan internasional, </t>
    </r>
    <r>
      <rPr>
        <b/>
        <sz val="12"/>
        <color theme="1"/>
        <rFont val="Aptos Narrow"/>
        <family val="2"/>
      </rPr>
      <t xml:space="preserve">perolehan HKI, </t>
    </r>
    <r>
      <rPr>
        <sz val="12"/>
        <color theme="1"/>
        <rFont val="Aptos Narrow"/>
        <family val="2"/>
      </rPr>
      <t xml:space="preserve">serta
</t>
    </r>
    <r>
      <rPr>
        <b/>
        <sz val="12"/>
        <color theme="1"/>
        <rFont val="Aptos Narrow"/>
        <family val="2"/>
      </rPr>
      <t>keberlanjutan PkM.</t>
    </r>
  </si>
  <si>
    <t>Perolehan Hibah PKM</t>
  </si>
  <si>
    <t>Direktur menetapkan keterlibatan DTPR dalam kegiatan PKM dosen dengan sumber pendanaan dari hibah</t>
  </si>
  <si>
    <t>Persentase kegiatan PKM dosen yang didanai dari hibah</t>
  </si>
  <si>
    <t>Kerjasama PKM</t>
  </si>
  <si>
    <t xml:space="preserve">Jumlah Perjanjian Kerjasama (PKS) pada lingkup PKM dosen </t>
  </si>
  <si>
    <t>Standar Proses PKM (285)</t>
  </si>
  <si>
    <t>Realisasi Kerjasama PKM</t>
  </si>
  <si>
    <t>Persentase realisasi kerjasama dalam lingkup PKM Dosen tiap tahun</t>
  </si>
  <si>
    <t>Diseminasi PKM</t>
  </si>
  <si>
    <t>Kepala Pusat PPM memastikan diseminasi hasil PKM dosen dilaksanakan setiap tahun</t>
  </si>
  <si>
    <t>Jumlah kegatan diseminasi hasil PKM dosen tiap tahun baik dalam lingkup lokal, regional dan nasional</t>
  </si>
  <si>
    <t>Standar Proses PKM (286)</t>
  </si>
  <si>
    <t>Perolehan HKI produk PKM</t>
  </si>
  <si>
    <t>Kepala Pusat PPM memfasilitasi proses pengajuan dan kepemilikan hak atas kekayaan intelektual atas hasil pengabdian kepada masyarakat sesuai dengan peraturan yang berlaku</t>
  </si>
  <si>
    <t>Jumlah sertifikat HAKI hasil PKM dosen yang diperoleh setiap tahun</t>
  </si>
  <si>
    <t>Standar Proses PKM (284)</t>
  </si>
  <si>
    <t>Kerberlanjutan PKM</t>
  </si>
  <si>
    <t>Kepala Pusat PPM memastikan keberlanjutan pelaksanaan PKM sesuai dengan RIPKM</t>
  </si>
  <si>
    <t>Jumlah keberlanjutan PKM dosen berdasarkan kebutuhan lokus PKM</t>
  </si>
  <si>
    <t>Standar Proses PKM (291)</t>
  </si>
  <si>
    <t>C5. AKUNTABILITAS</t>
  </si>
  <si>
    <r>
      <t xml:space="preserve">A. </t>
    </r>
    <r>
      <rPr>
        <b/>
        <sz val="12"/>
        <color theme="1"/>
        <rFont val="Aptos Narrow"/>
        <family val="2"/>
      </rPr>
      <t>sistem tata kelola yang otonom secara
transparan</t>
    </r>
    <r>
      <rPr>
        <sz val="12"/>
        <color theme="1"/>
        <rFont val="Aptos Narrow"/>
        <family val="2"/>
      </rPr>
      <t xml:space="preserve">, dan </t>
    </r>
    <r>
      <rPr>
        <b/>
        <sz val="12"/>
        <color theme="1"/>
        <rFont val="Aptos Narrow"/>
        <family val="2"/>
      </rPr>
      <t xml:space="preserve">akuntabel </t>
    </r>
    <r>
      <rPr>
        <sz val="12"/>
        <color theme="1"/>
        <rFont val="Aptos Narrow"/>
        <family val="2"/>
      </rPr>
      <t xml:space="preserve">yang didukung </t>
    </r>
    <r>
      <rPr>
        <b/>
        <sz val="12"/>
        <color theme="1"/>
        <rFont val="Aptos Narrow"/>
        <family val="2"/>
      </rPr>
      <t>kapasitas sarana dan prasarana</t>
    </r>
    <r>
      <rPr>
        <sz val="12"/>
        <color theme="1"/>
        <rFont val="Aptos Narrow"/>
        <family val="2"/>
      </rPr>
      <t xml:space="preserve"> yang
memadai dan </t>
    </r>
    <r>
      <rPr>
        <b/>
        <sz val="12"/>
        <color theme="1"/>
        <rFont val="Aptos Narrow"/>
        <family val="2"/>
      </rPr>
      <t>SDM yang profesional.</t>
    </r>
  </si>
  <si>
    <t>Sistem tata kelola yang otonom</t>
  </si>
  <si>
    <t>Direktur menetapkan rencana strategis dan rencana operasional dalam jangka waktu tertentu</t>
  </si>
  <si>
    <t>Persentase ketercapaian sasaran strategis (IKU) yang ditetapkan pada rencana strategis</t>
  </si>
  <si>
    <t>Standar Pengelolaan Pembelajaran (114, 122)</t>
  </si>
  <si>
    <t>Sistem tata kelola yang transparan dan akuntabel</t>
  </si>
  <si>
    <t>Direktur menetapkan laporan kinerja tahunan</t>
  </si>
  <si>
    <t>Persentase ketersediaan laporan kinerja unit kerja tiap tahun</t>
  </si>
  <si>
    <t>Standar Pengelolaan Pembelajaran (131, 150)</t>
  </si>
  <si>
    <t>Sarana Prasarana tata kelola yang memadai</t>
  </si>
  <si>
    <t>Direktur menetapkan sarana prasarana tata kelola yang memadai</t>
  </si>
  <si>
    <t>Persentase kertersediaan sarana berupa istrumen penilaian ketercapaian kinerja  (IKU)</t>
  </si>
  <si>
    <t>Tidak ada ---New Standar Sarana Prasarana</t>
  </si>
  <si>
    <t>Persentase pemenuhan kebutuhan prasarana penunjang tridharma perguruan tinggi</t>
  </si>
  <si>
    <t>Unit TI</t>
  </si>
  <si>
    <t>Persentase pemenuhan kebutuhan infrastruktur TI dan sistem elektronik penunjang tridharma perguruan tinggi</t>
  </si>
  <si>
    <t>Dasar kegiatan : SOP Layanan Pemenuhan Kebutuhan Infrastruktur TI di Lingkungan PSSN No.018/PS/04/2022
Penelitian : sistem msh dalam proses
PKM : sistem msh dalam proses</t>
  </si>
  <si>
    <t>SDM yang profesional</t>
  </si>
  <si>
    <t>Direktur memastikan ketersediaan SDM yang profesional</t>
  </si>
  <si>
    <t>Persentase jumlah SDM yang terlibat dalam setiap unit kerja memiliki sertifikat pelatihan atau sertifikasi yang relevan</t>
  </si>
  <si>
    <t>Standar Dosen dan Tendik (195)</t>
  </si>
  <si>
    <t>Data pada Dashboard Poltek SSN</t>
  </si>
  <si>
    <r>
      <t xml:space="preserve">B. </t>
    </r>
    <r>
      <rPr>
        <b/>
        <sz val="12"/>
        <color theme="1"/>
        <rFont val="Aptos Narrow"/>
        <family val="2"/>
      </rPr>
      <t>audit mutu pemenuhan tupoksi tata kelola</t>
    </r>
    <r>
      <rPr>
        <sz val="12"/>
        <color theme="1"/>
        <rFont val="Aptos Narrow"/>
        <family val="2"/>
      </rPr>
      <t xml:space="preserve">
dan </t>
    </r>
    <r>
      <rPr>
        <b/>
        <sz val="12"/>
        <color theme="1"/>
        <rFont val="Aptos Narrow"/>
        <family val="2"/>
      </rPr>
      <t>tata pamong, sarana dan prasarana dan SDM</t>
    </r>
    <r>
      <rPr>
        <sz val="12"/>
        <color theme="1"/>
        <rFont val="Aptos Narrow"/>
        <family val="2"/>
      </rPr>
      <t>.</t>
    </r>
  </si>
  <si>
    <t>Audit mutu pemenuhan tupoksi tata kelola</t>
  </si>
  <si>
    <t>Direktur memastikan ketercapaian target indikator mutu tiap tahun</t>
  </si>
  <si>
    <t>Persentase nilai audit mutu internal berdasarkan kesesuaian target indikator mutu terkait pelaksanaan tupoksi tiap unit kerja</t>
  </si>
  <si>
    <t>Standar Penjaminan Mutu</t>
  </si>
  <si>
    <t>Audit mutu pemenuhan tata pamong</t>
  </si>
  <si>
    <t>Persentase nilai audit mutu internal berdasarkan kesesuaian standar tata pamong</t>
  </si>
  <si>
    <t>Audit mutu pemenuhan sarana prasarana</t>
  </si>
  <si>
    <t>Persentase nilai audit mutu internal berdasarkan kesesuaian standar sarana prasarana</t>
  </si>
  <si>
    <t>Audit mutu pemenuhan SDM</t>
  </si>
  <si>
    <t>Persentase nilai audit mutu internal berdasarkan kesesuaian target indikator mutu terkait kompetensi SDM unit kerja dan lulusan</t>
  </si>
  <si>
    <t>C6. DIFERENSIASI MISI</t>
  </si>
  <si>
    <r>
      <rPr>
        <b/>
        <sz val="12"/>
        <color theme="1"/>
        <rFont val="Aptos Narrow"/>
        <family val="2"/>
      </rPr>
      <t xml:space="preserve">visi, misi, tujuan, strategi, </t>
    </r>
    <r>
      <rPr>
        <sz val="12"/>
        <color theme="1"/>
        <rFont val="Aptos Narrow"/>
        <family val="2"/>
      </rPr>
      <t xml:space="preserve">dan </t>
    </r>
    <r>
      <rPr>
        <b/>
        <sz val="12"/>
        <color theme="1"/>
        <rFont val="Aptos Narrow"/>
        <family val="2"/>
      </rPr>
      <t>rencana pengembangan strategis</t>
    </r>
    <r>
      <rPr>
        <sz val="12"/>
        <color theme="1"/>
        <rFont val="Aptos Narrow"/>
        <family val="2"/>
      </rPr>
      <t xml:space="preserve"> UPPS dan/atau PS yang dapat </t>
    </r>
    <r>
      <rPr>
        <b/>
        <sz val="12"/>
        <color theme="1"/>
        <rFont val="Aptos Narrow"/>
        <family val="2"/>
      </rPr>
      <t xml:space="preserve">menggambarkan ciri khas keilmuan PS </t>
    </r>
    <r>
      <rPr>
        <sz val="12"/>
        <color theme="1"/>
        <rFont val="Aptos Narrow"/>
        <family val="2"/>
      </rPr>
      <t>(sesuai KKNI level 6) dan</t>
    </r>
    <r>
      <rPr>
        <b/>
        <sz val="12"/>
        <color theme="1"/>
        <rFont val="Aptos Narrow"/>
        <family val="2"/>
      </rPr>
      <t xml:space="preserve"> sesuai dengan kebutuhan </t>
    </r>
    <r>
      <rPr>
        <sz val="12"/>
        <color theme="1"/>
        <rFont val="Aptos Narrow"/>
        <family val="2"/>
      </rPr>
      <t>masyarakat dan DUDIKA di tingkat lokal, nasional, maupun internasional.</t>
    </r>
  </si>
  <si>
    <t>VMTS yang menggambarkan ciri khas keilmuan PS dan KKNI Level 6</t>
  </si>
  <si>
    <t>Para Wadir</t>
  </si>
  <si>
    <t>Direktur menetapkan VMTS sesuai dengan KKNI level 6</t>
  </si>
  <si>
    <t>Persentase VMTS yang menggambarkan ciri khas keilmuan dan  sesuai dengan KKNI level 6</t>
  </si>
  <si>
    <t>Standar VMTS (334)</t>
  </si>
  <si>
    <t>VMTS yang sesuai kebutuhan masyarakat dan DUDIKA</t>
  </si>
  <si>
    <t>Direktur memastikan perumusan visi, misi, tujuan, dan strategi sesuai dengan kebutuhan DUDIKA</t>
  </si>
  <si>
    <t>Jumlah keterlibatan pemangku kepentingan Internal maupun eksternal dalam penyusunan VMTS</t>
  </si>
  <si>
    <t>Standar VMTS (331, 332)</t>
  </si>
  <si>
    <t>Periode evaluasi dan penetapan VMTS</t>
  </si>
  <si>
    <t>5 tahun sekali</t>
  </si>
  <si>
    <t>Jumlah indikator</t>
  </si>
  <si>
    <t>Standar Pembiayaan Pembelajaran</t>
  </si>
  <si>
    <t>Standar Dosen dan Tendik</t>
  </si>
  <si>
    <t>Nama Standar</t>
  </si>
  <si>
    <t>Standar Mahasiswa</t>
  </si>
  <si>
    <t>Standar Isi Pembelajaran</t>
  </si>
  <si>
    <t>Standar kompetensi lulusan</t>
  </si>
  <si>
    <t>Standar Proses Pembelajaran</t>
  </si>
  <si>
    <t>Standar Penilaian Pembelajaran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</si>
</sst>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scheme val="minor"/>
    </font>
    <font>
      <b/>
      <sz val="18"/>
      <color theme="1"/>
      <name val="Aptos Narrow"/>
      <family val="2"/>
    </font>
    <font>
      <sz val="12"/>
      <color theme="1"/>
      <name val="Aptos Narrow"/>
      <family val="2"/>
    </font>
    <font>
      <b/>
      <sz val="12"/>
      <color theme="1"/>
      <name val="Aptos Narrow"/>
      <family val="2"/>
    </font>
    <font>
      <sz val="11"/>
      <color theme="1"/>
      <name val="Arial"/>
      <family val="2"/>
    </font>
    <font>
      <sz val="12"/>
      <name val="Aptos Narrow"/>
      <family val="2"/>
    </font>
    <font>
      <i/>
      <sz val="12"/>
      <color theme="1"/>
      <name val="Aptos Narrow"/>
      <family val="2"/>
    </font>
    <font>
      <sz val="12"/>
      <color theme="1"/>
      <name val="Aptos Narrow"/>
      <family val="2"/>
      <scheme val="major"/>
    </font>
    <font>
      <sz val="12"/>
      <name val="Aptos Narrow"/>
      <family val="2"/>
      <scheme val="major"/>
    </font>
    <font>
      <sz val="12"/>
      <color theme="1"/>
      <name val="Arial"/>
      <family val="2"/>
    </font>
    <font>
      <sz val="12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D9F2D0"/>
        <bgColor rgb="FFD9F2D0"/>
      </patternFill>
    </fill>
    <fill>
      <patternFill patternType="solid">
        <fgColor theme="6" tint="0.39997558519241921"/>
        <bgColor rgb="FFD9F2D0"/>
      </patternFill>
    </fill>
    <fill>
      <patternFill patternType="solid">
        <fgColor rgb="FFFFFFCC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21"/>
        <bgColor rgb="FFFFFFCC"/>
      </patternFill>
    </fill>
    <fill>
      <patternFill patternType="solid">
        <fgColor rgb="FFFFCC99"/>
        <bgColor rgb="FFFFCC99"/>
      </patternFill>
    </fill>
    <fill>
      <patternFill patternType="solid">
        <fgColor theme="6" tint="0.39997558519241921"/>
        <bgColor rgb="FFFFCC99"/>
      </patternFill>
    </fill>
    <fill>
      <patternFill patternType="solid">
        <fgColor rgb="FFCCCCFF"/>
        <bgColor rgb="FFCCCCFF"/>
      </patternFill>
    </fill>
    <fill>
      <patternFill patternType="solid">
        <fgColor rgb="FFF1CEEE"/>
        <bgColor rgb="FFF1CEEE"/>
      </patternFill>
    </fill>
    <fill>
      <patternFill patternType="solid">
        <fgColor theme="6" tint="0.39997558519241921"/>
        <bgColor rgb="FFF1CEEE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 wrapText="1"/>
    </xf>
    <xf numFmtId="9" fontId="0" fillId="3" borderId="2" xfId="0" quotePrefix="1" applyNumberFormat="1" applyFill="1" applyBorder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9" fontId="2" fillId="0" borderId="1" xfId="0" applyNumberFormat="1" applyFont="1" applyBorder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9" fontId="2" fillId="0" borderId="2" xfId="0" applyNumberFormat="1" applyFont="1" applyBorder="1" applyAlignment="1">
      <alignment horizontal="center" vertical="top"/>
    </xf>
    <xf numFmtId="0" fontId="2" fillId="4" borderId="0" xfId="0" applyFont="1" applyFill="1" applyAlignment="1">
      <alignment horizontal="right" vertical="top"/>
    </xf>
    <xf numFmtId="0" fontId="2" fillId="4" borderId="0" xfId="0" applyFont="1" applyFill="1" applyAlignment="1">
      <alignment horizontal="left" vertical="top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20" fontId="2" fillId="0" borderId="1" xfId="0" quotePrefix="1" applyNumberFormat="1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9" fontId="2" fillId="0" borderId="1" xfId="0" applyNumberFormat="1" applyFont="1" applyBorder="1" applyAlignment="1">
      <alignment horizontal="center" vertical="top" wrapText="1"/>
    </xf>
    <xf numFmtId="9" fontId="2" fillId="0" borderId="1" xfId="0" quotePrefix="1" applyNumberFormat="1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center" vertical="top"/>
    </xf>
    <xf numFmtId="0" fontId="2" fillId="5" borderId="4" xfId="0" applyFont="1" applyFill="1" applyBorder="1" applyAlignment="1">
      <alignment horizontal="left" vertical="top" wrapText="1"/>
    </xf>
    <xf numFmtId="0" fontId="2" fillId="5" borderId="4" xfId="0" applyFont="1" applyFill="1" applyBorder="1" applyAlignment="1">
      <alignment horizontal="left" vertical="top"/>
    </xf>
    <xf numFmtId="0" fontId="2" fillId="0" borderId="4" xfId="0" applyFont="1" applyBorder="1" applyAlignment="1">
      <alignment horizontal="center" vertical="top"/>
    </xf>
    <xf numFmtId="9" fontId="2" fillId="0" borderId="0" xfId="0" applyNumberFormat="1" applyFont="1" applyAlignment="1">
      <alignment horizontal="center" vertical="top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5" borderId="6" xfId="0" applyFont="1" applyFill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7" fillId="0" borderId="2" xfId="0" applyFont="1" applyBorder="1" applyAlignment="1">
      <alignment horizontal="center" vertical="top" wrapText="1"/>
    </xf>
    <xf numFmtId="0" fontId="2" fillId="5" borderId="2" xfId="0" applyFont="1" applyFill="1" applyBorder="1" applyAlignment="1">
      <alignment horizontal="left" vertical="top"/>
    </xf>
    <xf numFmtId="0" fontId="2" fillId="5" borderId="7" xfId="0" applyFont="1" applyFill="1" applyBorder="1" applyAlignment="1">
      <alignment horizontal="left" vertical="top"/>
    </xf>
    <xf numFmtId="0" fontId="2" fillId="0" borderId="7" xfId="0" applyFont="1" applyBorder="1" applyAlignment="1">
      <alignment horizontal="center" vertical="top"/>
    </xf>
    <xf numFmtId="0" fontId="2" fillId="0" borderId="7" xfId="0" applyFont="1" applyBorder="1" applyAlignment="1">
      <alignment horizontal="left" vertical="top" wrapText="1"/>
    </xf>
    <xf numFmtId="9" fontId="2" fillId="0" borderId="7" xfId="0" applyNumberFormat="1" applyFont="1" applyBorder="1" applyAlignment="1">
      <alignment horizontal="center" vertical="top" wrapText="1"/>
    </xf>
    <xf numFmtId="0" fontId="2" fillId="0" borderId="1" xfId="0" applyFont="1" applyBorder="1"/>
    <xf numFmtId="0" fontId="2" fillId="0" borderId="0" xfId="0" applyFont="1"/>
    <xf numFmtId="0" fontId="2" fillId="5" borderId="1" xfId="0" quotePrefix="1" applyFont="1" applyFill="1" applyBorder="1" applyAlignment="1">
      <alignment horizontal="left" vertical="top" wrapText="1"/>
    </xf>
    <xf numFmtId="0" fontId="2" fillId="4" borderId="0" xfId="0" applyFont="1" applyFill="1"/>
    <xf numFmtId="0" fontId="2" fillId="6" borderId="7" xfId="0" applyFont="1" applyFill="1" applyBorder="1" applyAlignment="1">
      <alignment horizontal="left" vertical="top"/>
    </xf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top"/>
    </xf>
    <xf numFmtId="0" fontId="7" fillId="0" borderId="8" xfId="0" applyFont="1" applyBorder="1" applyAlignment="1">
      <alignment horizontal="left" vertical="top" wrapText="1"/>
    </xf>
    <xf numFmtId="0" fontId="8" fillId="0" borderId="2" xfId="0" applyFont="1" applyBorder="1" applyAlignment="1">
      <alignment vertical="top" wrapText="1"/>
    </xf>
    <xf numFmtId="9" fontId="7" fillId="0" borderId="9" xfId="0" applyNumberFormat="1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9" fontId="2" fillId="0" borderId="9" xfId="0" applyNumberFormat="1" applyFont="1" applyBorder="1" applyAlignment="1">
      <alignment horizontal="center" vertical="top"/>
    </xf>
    <xf numFmtId="0" fontId="0" fillId="0" borderId="2" xfId="0" applyBorder="1" applyAlignment="1">
      <alignment wrapText="1"/>
    </xf>
    <xf numFmtId="0" fontId="2" fillId="0" borderId="2" xfId="0" applyFont="1" applyBorder="1" applyAlignment="1">
      <alignment vertical="top" wrapText="1"/>
    </xf>
    <xf numFmtId="9" fontId="7" fillId="0" borderId="1" xfId="0" applyNumberFormat="1" applyFont="1" applyBorder="1" applyAlignment="1">
      <alignment horizontal="center" vertical="top"/>
    </xf>
    <xf numFmtId="0" fontId="8" fillId="0" borderId="10" xfId="0" applyFont="1" applyBorder="1" applyAlignment="1">
      <alignment vertical="top" wrapText="1"/>
    </xf>
    <xf numFmtId="9" fontId="7" fillId="0" borderId="5" xfId="0" applyNumberFormat="1" applyFont="1" applyBorder="1" applyAlignment="1">
      <alignment horizontal="center" vertical="top"/>
    </xf>
    <xf numFmtId="0" fontId="7" fillId="0" borderId="2" xfId="0" applyFont="1" applyBorder="1" applyAlignment="1">
      <alignment horizontal="left" vertical="top" wrapText="1"/>
    </xf>
    <xf numFmtId="9" fontId="0" fillId="0" borderId="2" xfId="0" applyNumberFormat="1" applyBorder="1" applyAlignment="1">
      <alignment horizontal="center" vertical="top"/>
    </xf>
    <xf numFmtId="0" fontId="2" fillId="7" borderId="9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2" fillId="7" borderId="0" xfId="0" applyFont="1" applyFill="1" applyAlignment="1">
      <alignment horizontal="left" vertical="top"/>
    </xf>
    <xf numFmtId="0" fontId="0" fillId="8" borderId="0" xfId="0" applyFill="1"/>
    <xf numFmtId="0" fontId="2" fillId="9" borderId="7" xfId="0" applyFont="1" applyFill="1" applyBorder="1" applyAlignment="1">
      <alignment horizontal="left" vertical="top"/>
    </xf>
    <xf numFmtId="0" fontId="3" fillId="10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 wrapText="1"/>
    </xf>
    <xf numFmtId="0" fontId="2" fillId="10" borderId="1" xfId="0" applyFont="1" applyFill="1" applyBorder="1" applyAlignment="1">
      <alignment horizontal="left" vertical="top" wrapText="1"/>
    </xf>
    <xf numFmtId="0" fontId="2" fillId="10" borderId="1" xfId="0" applyFont="1" applyFill="1" applyBorder="1" applyAlignment="1">
      <alignment horizontal="left" vertical="top"/>
    </xf>
    <xf numFmtId="0" fontId="9" fillId="0" borderId="1" xfId="0" applyFont="1" applyBorder="1" applyAlignment="1">
      <alignment horizontal="center" vertical="top"/>
    </xf>
    <xf numFmtId="9" fontId="7" fillId="0" borderId="1" xfId="0" applyNumberFormat="1" applyFont="1" applyBorder="1" applyAlignment="1">
      <alignment horizontal="center" vertical="top" wrapText="1"/>
    </xf>
    <xf numFmtId="0" fontId="7" fillId="10" borderId="1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wrapText="1"/>
    </xf>
    <xf numFmtId="0" fontId="7" fillId="0" borderId="11" xfId="0" applyFont="1" applyBorder="1" applyAlignment="1">
      <alignment horizontal="left" vertical="top" wrapText="1"/>
    </xf>
    <xf numFmtId="1" fontId="7" fillId="0" borderId="1" xfId="0" applyNumberFormat="1" applyFont="1" applyBorder="1" applyAlignment="1">
      <alignment horizontal="center" vertical="top"/>
    </xf>
    <xf numFmtId="0" fontId="2" fillId="11" borderId="7" xfId="0" applyFont="1" applyFill="1" applyBorder="1" applyAlignment="1">
      <alignment horizontal="left" vertical="top"/>
    </xf>
    <xf numFmtId="0" fontId="3" fillId="12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horizontal="left" vertical="top" wrapText="1"/>
    </xf>
    <xf numFmtId="0" fontId="2" fillId="12" borderId="1" xfId="0" applyFont="1" applyFill="1" applyBorder="1" applyAlignment="1">
      <alignment horizontal="left" vertical="top"/>
    </xf>
    <xf numFmtId="9" fontId="2" fillId="0" borderId="4" xfId="0" applyNumberFormat="1" applyFont="1" applyBorder="1" applyAlignment="1">
      <alignment horizontal="center" vertical="top"/>
    </xf>
    <xf numFmtId="0" fontId="2" fillId="12" borderId="2" xfId="0" applyFont="1" applyFill="1" applyBorder="1" applyAlignment="1">
      <alignment horizontal="left" vertical="top" wrapText="1"/>
    </xf>
    <xf numFmtId="0" fontId="2" fillId="12" borderId="6" xfId="0" applyFont="1" applyFill="1" applyBorder="1" applyAlignment="1">
      <alignment horizontal="left" vertical="top"/>
    </xf>
    <xf numFmtId="0" fontId="2" fillId="0" borderId="10" xfId="0" applyFont="1" applyBorder="1" applyAlignment="1">
      <alignment horizontal="center" vertical="top"/>
    </xf>
    <xf numFmtId="0" fontId="2" fillId="0" borderId="10" xfId="0" applyFont="1" applyBorder="1" applyAlignment="1">
      <alignment horizontal="left" vertical="top" wrapText="1"/>
    </xf>
    <xf numFmtId="0" fontId="2" fillId="12" borderId="9" xfId="0" applyFont="1" applyFill="1" applyBorder="1" applyAlignment="1">
      <alignment horizontal="left" vertical="top"/>
    </xf>
    <xf numFmtId="0" fontId="2" fillId="12" borderId="8" xfId="0" applyFont="1" applyFill="1" applyBorder="1" applyAlignment="1">
      <alignment horizontal="left" vertical="top" wrapText="1"/>
    </xf>
    <xf numFmtId="0" fontId="2" fillId="12" borderId="2" xfId="0" applyFont="1" applyFill="1" applyBorder="1" applyAlignment="1">
      <alignment horizontal="left" vertical="top"/>
    </xf>
    <xf numFmtId="0" fontId="2" fillId="0" borderId="12" xfId="0" applyFont="1" applyBorder="1" applyAlignment="1">
      <alignment horizontal="left" vertical="top" wrapText="1"/>
    </xf>
    <xf numFmtId="9" fontId="2" fillId="0" borderId="12" xfId="0" applyNumberFormat="1" applyFont="1" applyBorder="1" applyAlignment="1">
      <alignment horizontal="center" vertical="top"/>
    </xf>
    <xf numFmtId="0" fontId="2" fillId="12" borderId="9" xfId="0" applyFont="1" applyFill="1" applyBorder="1" applyAlignment="1">
      <alignment horizontal="left" vertical="top" wrapText="1"/>
    </xf>
    <xf numFmtId="0" fontId="2" fillId="12" borderId="11" xfId="0" applyFont="1" applyFill="1" applyBorder="1" applyAlignment="1">
      <alignment horizontal="left" vertical="top"/>
    </xf>
    <xf numFmtId="0" fontId="2" fillId="0" borderId="13" xfId="0" applyFont="1" applyBorder="1" applyAlignment="1">
      <alignment horizontal="center" vertical="top"/>
    </xf>
    <xf numFmtId="0" fontId="2" fillId="4" borderId="0" xfId="0" applyFont="1" applyFill="1" applyAlignment="1">
      <alignment horizontal="right" vertical="top" wrapText="1"/>
    </xf>
    <xf numFmtId="0" fontId="3" fillId="13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 wrapText="1"/>
    </xf>
    <xf numFmtId="0" fontId="2" fillId="13" borderId="1" xfId="0" applyFont="1" applyFill="1" applyBorder="1" applyAlignment="1">
      <alignment horizontal="left" vertical="top" wrapText="1"/>
    </xf>
    <xf numFmtId="0" fontId="2" fillId="13" borderId="1" xfId="0" applyFont="1" applyFill="1" applyBorder="1" applyAlignment="1">
      <alignment horizontal="left" vertical="top"/>
    </xf>
    <xf numFmtId="0" fontId="0" fillId="4" borderId="0" xfId="0" applyFill="1"/>
    <xf numFmtId="0" fontId="2" fillId="14" borderId="7" xfId="0" applyFont="1" applyFill="1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vertical="center"/>
    </xf>
    <xf numFmtId="0" fontId="0" fillId="3" borderId="0" xfId="0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3" xfId="0" applyFont="1" applyBorder="1" applyAlignment="1">
      <alignment horizontal="left" vertical="top" wrapText="1"/>
    </xf>
    <xf numFmtId="0" fontId="5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35F56-D0D4-4B38-9B7B-D3BA926BD405}">
  <dimension ref="A1:AA1001"/>
  <sheetViews>
    <sheetView tabSelected="1" topLeftCell="A13" zoomScale="85" zoomScaleNormal="85" workbookViewId="0">
      <selection activeCell="C17" sqref="C17"/>
    </sheetView>
  </sheetViews>
  <sheetFormatPr defaultColWidth="11.25" defaultRowHeight="15" customHeight="1" x14ac:dyDescent="0.25"/>
  <cols>
    <col min="1" max="1" width="3.125" style="1" bestFit="1" customWidth="1"/>
    <col min="2" max="2" width="29" customWidth="1"/>
    <col min="3" max="3" width="18.875" customWidth="1"/>
    <col min="4" max="4" width="6.75" customWidth="1"/>
    <col min="5" max="6" width="27" customWidth="1"/>
    <col min="7" max="7" width="12.25" customWidth="1"/>
    <col min="8" max="8" width="40" customWidth="1"/>
    <col min="9" max="9" width="18.875" customWidth="1"/>
    <col min="10" max="10" width="28.5" style="4" customWidth="1"/>
    <col min="11" max="27" width="8.5" customWidth="1"/>
  </cols>
  <sheetData>
    <row r="1" spans="1:27" ht="22.9" customHeight="1" x14ac:dyDescent="0.4">
      <c r="B1" s="122" t="s">
        <v>0</v>
      </c>
      <c r="C1" s="123"/>
      <c r="D1" s="123"/>
      <c r="E1" s="123"/>
      <c r="F1" s="123"/>
      <c r="G1" s="123"/>
      <c r="H1" s="123"/>
      <c r="I1" s="123"/>
      <c r="J1" s="123"/>
    </row>
    <row r="2" spans="1:27" ht="15.75" customHeight="1" x14ac:dyDescent="0.25">
      <c r="D2" s="2"/>
      <c r="F2" s="3"/>
      <c r="G2" s="2"/>
      <c r="H2" s="3"/>
    </row>
    <row r="3" spans="1:27" ht="15.75" customHeight="1" x14ac:dyDescent="0.25">
      <c r="B3" s="5" t="s">
        <v>1</v>
      </c>
      <c r="D3" s="2"/>
      <c r="F3" s="3"/>
      <c r="G3" s="2"/>
      <c r="H3" s="3"/>
    </row>
    <row r="4" spans="1:27" ht="15.75" customHeight="1" x14ac:dyDescent="0.25">
      <c r="B4" s="6" t="s">
        <v>2</v>
      </c>
      <c r="D4" s="2"/>
      <c r="F4" s="3"/>
      <c r="G4" s="2"/>
      <c r="H4" s="3"/>
    </row>
    <row r="5" spans="1:27" ht="27.75" customHeight="1" x14ac:dyDescent="0.25">
      <c r="B5" s="7" t="s">
        <v>3</v>
      </c>
      <c r="C5" s="7"/>
      <c r="D5" s="8"/>
      <c r="E5" s="7"/>
      <c r="F5" s="9"/>
      <c r="G5" s="8"/>
      <c r="H5" s="9"/>
      <c r="I5" s="7"/>
      <c r="J5" s="9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15.75" customHeight="1" x14ac:dyDescent="0.25">
      <c r="B6" s="10" t="s">
        <v>4</v>
      </c>
      <c r="C6" s="10" t="s">
        <v>5</v>
      </c>
      <c r="D6" s="11" t="s">
        <v>6</v>
      </c>
      <c r="E6" s="11" t="s">
        <v>7</v>
      </c>
      <c r="F6" s="12" t="s">
        <v>8</v>
      </c>
      <c r="G6" s="11" t="s">
        <v>9</v>
      </c>
      <c r="H6" s="13" t="s">
        <v>340</v>
      </c>
      <c r="I6" s="10" t="s">
        <v>11</v>
      </c>
      <c r="J6" s="13" t="s">
        <v>12</v>
      </c>
    </row>
    <row r="7" spans="1:27" ht="110.25" x14ac:dyDescent="0.25">
      <c r="A7" s="1">
        <v>1</v>
      </c>
      <c r="B7" s="14" t="s">
        <v>13</v>
      </c>
      <c r="C7" s="15" t="s">
        <v>14</v>
      </c>
      <c r="D7" s="16">
        <v>1</v>
      </c>
      <c r="E7" s="17" t="s">
        <v>15</v>
      </c>
      <c r="F7" s="17" t="s">
        <v>16</v>
      </c>
      <c r="G7" s="18" t="s">
        <v>17</v>
      </c>
      <c r="H7" s="14" t="s">
        <v>24</v>
      </c>
      <c r="I7" s="15"/>
      <c r="J7" s="14" t="s">
        <v>18</v>
      </c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spans="1:27" ht="70.5" customHeight="1" x14ac:dyDescent="0.25">
      <c r="A8" s="1">
        <v>2</v>
      </c>
      <c r="B8" s="20" t="s">
        <v>19</v>
      </c>
      <c r="C8" s="21" t="s">
        <v>20</v>
      </c>
      <c r="D8" s="22">
        <v>2</v>
      </c>
      <c r="E8" s="23" t="s">
        <v>21</v>
      </c>
      <c r="F8" s="23" t="s">
        <v>22</v>
      </c>
      <c r="G8" s="24">
        <v>0.3</v>
      </c>
      <c r="H8" s="20" t="s">
        <v>24</v>
      </c>
      <c r="I8" s="21"/>
      <c r="J8" s="20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27" ht="71.25" customHeight="1" x14ac:dyDescent="0.25">
      <c r="A9" s="1">
        <v>3</v>
      </c>
      <c r="B9" s="20"/>
      <c r="C9" s="21" t="s">
        <v>20</v>
      </c>
      <c r="D9" s="22"/>
      <c r="E9" s="23"/>
      <c r="F9" s="23" t="s">
        <v>23</v>
      </c>
      <c r="G9" s="24">
        <v>1</v>
      </c>
      <c r="H9" s="20" t="s">
        <v>24</v>
      </c>
      <c r="I9" s="21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spans="1:27" ht="99" customHeight="1" x14ac:dyDescent="0.25">
      <c r="A10" s="1">
        <v>4</v>
      </c>
      <c r="B10" s="20" t="s">
        <v>25</v>
      </c>
      <c r="C10" s="21" t="s">
        <v>26</v>
      </c>
      <c r="D10" s="22">
        <v>3</v>
      </c>
      <c r="E10" s="23" t="s">
        <v>27</v>
      </c>
      <c r="F10" s="23" t="s">
        <v>28</v>
      </c>
      <c r="G10" s="24">
        <v>0.95</v>
      </c>
      <c r="H10" s="20" t="s">
        <v>338</v>
      </c>
      <c r="I10" s="21"/>
      <c r="J10" s="20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spans="1:27" ht="15.75" customHeight="1" x14ac:dyDescent="0.25">
      <c r="B11" s="19"/>
      <c r="C11" s="19"/>
      <c r="D11" s="8"/>
      <c r="E11" s="19"/>
      <c r="F11" s="25"/>
      <c r="G11" s="8"/>
      <c r="H11" s="25"/>
      <c r="I11" s="19"/>
      <c r="J11" s="25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spans="1:27" ht="27" customHeight="1" x14ac:dyDescent="0.25">
      <c r="B12" s="7" t="s">
        <v>29</v>
      </c>
      <c r="D12" s="2"/>
      <c r="F12" s="3"/>
      <c r="G12" s="2"/>
      <c r="H12" s="3"/>
    </row>
    <row r="13" spans="1:27" ht="15.75" customHeight="1" x14ac:dyDescent="0.25">
      <c r="B13" s="10" t="s">
        <v>4</v>
      </c>
      <c r="C13" s="10" t="s">
        <v>5</v>
      </c>
      <c r="D13" s="11" t="s">
        <v>6</v>
      </c>
      <c r="E13" s="11" t="s">
        <v>7</v>
      </c>
      <c r="F13" s="12" t="s">
        <v>8</v>
      </c>
      <c r="G13" s="11" t="s">
        <v>9</v>
      </c>
      <c r="H13" s="13" t="s">
        <v>10</v>
      </c>
      <c r="I13" s="10" t="s">
        <v>11</v>
      </c>
      <c r="J13" s="13" t="s">
        <v>12</v>
      </c>
    </row>
    <row r="14" spans="1:27" ht="47.25" x14ac:dyDescent="0.25">
      <c r="A14" s="1">
        <v>1</v>
      </c>
      <c r="B14" s="20" t="s">
        <v>30</v>
      </c>
      <c r="C14" s="21" t="s">
        <v>31</v>
      </c>
      <c r="D14" s="22">
        <v>1</v>
      </c>
      <c r="E14" s="23" t="s">
        <v>32</v>
      </c>
      <c r="F14" s="23" t="s">
        <v>33</v>
      </c>
      <c r="G14" s="24">
        <v>1</v>
      </c>
      <c r="H14" s="20" t="s">
        <v>317</v>
      </c>
      <c r="I14" s="21"/>
      <c r="J14" s="20"/>
    </row>
    <row r="15" spans="1:27" ht="78.75" x14ac:dyDescent="0.25">
      <c r="A15" s="1">
        <v>2</v>
      </c>
      <c r="B15" s="20"/>
      <c r="C15" s="21" t="s">
        <v>31</v>
      </c>
      <c r="D15" s="22"/>
      <c r="E15" s="26"/>
      <c r="F15" s="23" t="s">
        <v>34</v>
      </c>
      <c r="G15" s="24">
        <v>0.5</v>
      </c>
      <c r="H15" s="20" t="s">
        <v>317</v>
      </c>
      <c r="I15" s="21"/>
      <c r="J15" s="20"/>
    </row>
    <row r="16" spans="1:27" ht="67.5" customHeight="1" x14ac:dyDescent="0.25">
      <c r="A16" s="1">
        <v>3</v>
      </c>
      <c r="B16" s="20" t="s">
        <v>35</v>
      </c>
      <c r="C16" s="21" t="s">
        <v>31</v>
      </c>
      <c r="D16" s="22">
        <v>2</v>
      </c>
      <c r="E16" s="17" t="s">
        <v>36</v>
      </c>
      <c r="F16" s="17" t="s">
        <v>37</v>
      </c>
      <c r="G16" s="27">
        <v>0.8</v>
      </c>
      <c r="H16" s="20" t="s">
        <v>317</v>
      </c>
      <c r="I16" s="21"/>
      <c r="J16" s="20"/>
    </row>
    <row r="17" spans="1:10" ht="15.75" customHeight="1" x14ac:dyDescent="0.25">
      <c r="B17" s="28">
        <f>SUM(A16,A16)</f>
        <v>6</v>
      </c>
      <c r="C17" s="29" t="s">
        <v>38</v>
      </c>
      <c r="D17" s="8"/>
      <c r="E17" s="19"/>
      <c r="F17" s="25"/>
      <c r="G17" s="8"/>
      <c r="H17" s="25"/>
      <c r="I17" s="19"/>
      <c r="J17" s="25"/>
    </row>
    <row r="18" spans="1:10" ht="15.75" customHeight="1" x14ac:dyDescent="0.25">
      <c r="B18" s="5" t="s">
        <v>39</v>
      </c>
      <c r="D18" s="2"/>
      <c r="F18" s="3"/>
      <c r="G18" s="2"/>
      <c r="H18" s="3"/>
    </row>
    <row r="19" spans="1:10" ht="15.75" customHeight="1" x14ac:dyDescent="0.25">
      <c r="B19" s="6" t="s">
        <v>2</v>
      </c>
      <c r="D19" s="2"/>
      <c r="F19" s="3"/>
      <c r="G19" s="2"/>
      <c r="H19" s="3"/>
    </row>
    <row r="20" spans="1:10" ht="29.25" customHeight="1" x14ac:dyDescent="0.25">
      <c r="B20" s="7" t="s">
        <v>40</v>
      </c>
      <c r="D20" s="2"/>
      <c r="F20" s="3"/>
      <c r="G20" s="2"/>
      <c r="H20" s="3"/>
    </row>
    <row r="21" spans="1:10" ht="15.75" customHeight="1" x14ac:dyDescent="0.25">
      <c r="B21" s="30" t="s">
        <v>4</v>
      </c>
      <c r="C21" s="30" t="s">
        <v>5</v>
      </c>
      <c r="D21" s="11" t="s">
        <v>6</v>
      </c>
      <c r="E21" s="11" t="s">
        <v>7</v>
      </c>
      <c r="F21" s="12" t="s">
        <v>8</v>
      </c>
      <c r="G21" s="11" t="s">
        <v>9</v>
      </c>
      <c r="H21" s="31" t="s">
        <v>340</v>
      </c>
      <c r="I21" s="30" t="s">
        <v>11</v>
      </c>
      <c r="J21" s="31" t="s">
        <v>12</v>
      </c>
    </row>
    <row r="22" spans="1:10" ht="54.75" customHeight="1" x14ac:dyDescent="0.25">
      <c r="A22" s="1">
        <v>1</v>
      </c>
      <c r="B22" s="32" t="s">
        <v>41</v>
      </c>
      <c r="C22" s="33" t="s">
        <v>42</v>
      </c>
      <c r="D22" s="34">
        <v>1</v>
      </c>
      <c r="E22" s="35" t="s">
        <v>43</v>
      </c>
      <c r="F22" s="23" t="s">
        <v>44</v>
      </c>
      <c r="G22" s="36" t="s">
        <v>45</v>
      </c>
      <c r="H22" s="32" t="s">
        <v>339</v>
      </c>
      <c r="I22" s="33"/>
      <c r="J22" s="32"/>
    </row>
    <row r="23" spans="1:10" ht="54.75" customHeight="1" x14ac:dyDescent="0.25">
      <c r="A23" s="1">
        <v>2</v>
      </c>
      <c r="B23" s="32"/>
      <c r="C23" s="33" t="s">
        <v>42</v>
      </c>
      <c r="D23" s="34">
        <v>2</v>
      </c>
      <c r="E23" s="35" t="s">
        <v>46</v>
      </c>
      <c r="F23" s="23" t="s">
        <v>47</v>
      </c>
      <c r="G23" s="37" t="s">
        <v>48</v>
      </c>
      <c r="H23" s="32" t="s">
        <v>339</v>
      </c>
      <c r="I23" s="33"/>
      <c r="J23" s="32"/>
    </row>
    <row r="24" spans="1:10" ht="54.75" customHeight="1" x14ac:dyDescent="0.25">
      <c r="A24" s="1">
        <v>3</v>
      </c>
      <c r="B24" s="32"/>
      <c r="C24" s="33" t="s">
        <v>42</v>
      </c>
      <c r="D24" s="34">
        <v>3</v>
      </c>
      <c r="E24" s="35" t="s">
        <v>49</v>
      </c>
      <c r="F24" s="23" t="s">
        <v>50</v>
      </c>
      <c r="G24" s="37">
        <v>3</v>
      </c>
      <c r="H24" s="32" t="s">
        <v>339</v>
      </c>
      <c r="I24" s="33"/>
      <c r="J24" s="32"/>
    </row>
    <row r="25" spans="1:10" ht="54.75" customHeight="1" x14ac:dyDescent="0.25">
      <c r="A25" s="1">
        <v>4</v>
      </c>
      <c r="B25" s="32"/>
      <c r="C25" s="33" t="s">
        <v>42</v>
      </c>
      <c r="D25" s="34"/>
      <c r="E25" s="35"/>
      <c r="F25" s="23" t="s">
        <v>51</v>
      </c>
      <c r="G25" s="37">
        <v>3</v>
      </c>
      <c r="H25" s="32" t="s">
        <v>339</v>
      </c>
      <c r="I25" s="33"/>
      <c r="J25" s="32"/>
    </row>
    <row r="26" spans="1:10" ht="54.75" customHeight="1" x14ac:dyDescent="0.25">
      <c r="A26" s="1">
        <v>5</v>
      </c>
      <c r="B26" s="32"/>
      <c r="C26" s="33" t="s">
        <v>42</v>
      </c>
      <c r="D26" s="34"/>
      <c r="E26" s="35"/>
      <c r="F26" s="23" t="s">
        <v>52</v>
      </c>
      <c r="G26" s="38">
        <v>1</v>
      </c>
      <c r="H26" s="32" t="s">
        <v>339</v>
      </c>
      <c r="I26" s="33"/>
      <c r="J26" s="32"/>
    </row>
    <row r="27" spans="1:10" ht="83.25" customHeight="1" x14ac:dyDescent="0.25">
      <c r="A27" s="1">
        <v>6</v>
      </c>
      <c r="B27" s="32"/>
      <c r="C27" s="33" t="s">
        <v>42</v>
      </c>
      <c r="D27" s="34"/>
      <c r="E27" s="35"/>
      <c r="F27" s="23" t="s">
        <v>53</v>
      </c>
      <c r="G27" s="38">
        <v>0.8</v>
      </c>
      <c r="H27" s="32" t="s">
        <v>339</v>
      </c>
      <c r="I27" s="33"/>
      <c r="J27" s="32"/>
    </row>
    <row r="28" spans="1:10" ht="78.75" x14ac:dyDescent="0.25">
      <c r="A28" s="1">
        <v>7</v>
      </c>
      <c r="B28" s="32" t="s">
        <v>54</v>
      </c>
      <c r="C28" s="33" t="s">
        <v>20</v>
      </c>
      <c r="D28" s="34">
        <v>4</v>
      </c>
      <c r="E28" s="23" t="s">
        <v>55</v>
      </c>
      <c r="F28" s="23" t="s">
        <v>56</v>
      </c>
      <c r="G28" s="38">
        <v>1</v>
      </c>
      <c r="H28" s="32" t="s">
        <v>341</v>
      </c>
      <c r="I28" s="33"/>
      <c r="J28" s="32"/>
    </row>
    <row r="29" spans="1:10" ht="53.25" customHeight="1" x14ac:dyDescent="0.25">
      <c r="A29" s="1">
        <v>8</v>
      </c>
      <c r="B29" s="32"/>
      <c r="C29" s="33" t="s">
        <v>57</v>
      </c>
      <c r="D29" s="34">
        <v>5</v>
      </c>
      <c r="E29" s="23" t="s">
        <v>58</v>
      </c>
      <c r="F29" s="23" t="s">
        <v>59</v>
      </c>
      <c r="G29" s="39" t="s">
        <v>60</v>
      </c>
      <c r="H29" s="32" t="s">
        <v>341</v>
      </c>
      <c r="I29" s="33"/>
      <c r="J29" s="32"/>
    </row>
    <row r="30" spans="1:10" ht="51" customHeight="1" x14ac:dyDescent="0.25">
      <c r="A30" s="1">
        <v>9</v>
      </c>
      <c r="B30" s="32" t="s">
        <v>61</v>
      </c>
      <c r="C30" s="33" t="s">
        <v>20</v>
      </c>
      <c r="D30" s="34">
        <v>6</v>
      </c>
      <c r="E30" s="23" t="s">
        <v>62</v>
      </c>
      <c r="F30" s="23" t="s">
        <v>63</v>
      </c>
      <c r="G30" s="34">
        <v>14</v>
      </c>
      <c r="H30" s="32" t="s">
        <v>341</v>
      </c>
      <c r="I30" s="33"/>
      <c r="J30" s="32"/>
    </row>
    <row r="31" spans="1:10" ht="57" customHeight="1" x14ac:dyDescent="0.25">
      <c r="A31" s="1">
        <v>10</v>
      </c>
      <c r="B31" s="32" t="s">
        <v>64</v>
      </c>
      <c r="C31" s="33" t="s">
        <v>65</v>
      </c>
      <c r="D31" s="34">
        <v>7</v>
      </c>
      <c r="E31" s="23" t="s">
        <v>66</v>
      </c>
      <c r="F31" s="23" t="s">
        <v>67</v>
      </c>
      <c r="G31" s="34">
        <v>10</v>
      </c>
      <c r="H31" s="32" t="s">
        <v>341</v>
      </c>
      <c r="I31" s="33"/>
      <c r="J31" s="32"/>
    </row>
    <row r="32" spans="1:10" ht="86.25" customHeight="1" x14ac:dyDescent="0.25">
      <c r="A32" s="1">
        <v>11</v>
      </c>
      <c r="B32" s="32" t="s">
        <v>68</v>
      </c>
      <c r="C32" s="33" t="s">
        <v>69</v>
      </c>
      <c r="D32" s="34">
        <v>8</v>
      </c>
      <c r="E32" s="23" t="s">
        <v>70</v>
      </c>
      <c r="F32" s="23" t="s">
        <v>71</v>
      </c>
      <c r="G32" s="38">
        <v>1</v>
      </c>
      <c r="H32" s="32" t="s">
        <v>74</v>
      </c>
      <c r="I32" s="33"/>
      <c r="J32" s="32"/>
    </row>
    <row r="33" spans="1:10" ht="86.25" customHeight="1" x14ac:dyDescent="0.25">
      <c r="A33" s="1">
        <v>12</v>
      </c>
      <c r="B33" s="32"/>
      <c r="C33" s="33" t="s">
        <v>72</v>
      </c>
      <c r="D33" s="34"/>
      <c r="E33" s="23"/>
      <c r="F33" s="23" t="s">
        <v>73</v>
      </c>
      <c r="G33" s="38">
        <v>0.9</v>
      </c>
      <c r="H33" s="32" t="s">
        <v>74</v>
      </c>
      <c r="I33" s="33"/>
      <c r="J33" s="32"/>
    </row>
    <row r="34" spans="1:10" ht="83.25" customHeight="1" x14ac:dyDescent="0.25">
      <c r="A34" s="1">
        <v>13</v>
      </c>
      <c r="B34" s="32"/>
      <c r="C34" s="33" t="s">
        <v>75</v>
      </c>
      <c r="D34" s="34"/>
      <c r="E34" s="23"/>
      <c r="F34" s="23" t="s">
        <v>76</v>
      </c>
      <c r="G34" s="38">
        <v>0.75</v>
      </c>
      <c r="H34" s="32" t="s">
        <v>74</v>
      </c>
      <c r="I34" s="33"/>
      <c r="J34" s="32"/>
    </row>
    <row r="35" spans="1:10" ht="89.25" customHeight="1" x14ac:dyDescent="0.25">
      <c r="A35" s="1">
        <v>14</v>
      </c>
      <c r="B35" s="32"/>
      <c r="C35" s="33" t="s">
        <v>77</v>
      </c>
      <c r="D35" s="34"/>
      <c r="E35" s="23"/>
      <c r="F35" s="23" t="s">
        <v>78</v>
      </c>
      <c r="G35" s="39">
        <v>0.8</v>
      </c>
      <c r="H35" s="32" t="s">
        <v>74</v>
      </c>
      <c r="I35" s="33"/>
      <c r="J35" s="32"/>
    </row>
    <row r="36" spans="1:10" ht="53.25" customHeight="1" x14ac:dyDescent="0.25">
      <c r="A36" s="1">
        <v>15</v>
      </c>
      <c r="B36" s="32" t="s">
        <v>79</v>
      </c>
      <c r="C36" s="33" t="s">
        <v>80</v>
      </c>
      <c r="D36" s="34">
        <v>9</v>
      </c>
      <c r="E36" s="23" t="s">
        <v>81</v>
      </c>
      <c r="F36" s="23" t="s">
        <v>82</v>
      </c>
      <c r="G36" s="38">
        <v>0.9</v>
      </c>
      <c r="H36" s="32" t="s">
        <v>338</v>
      </c>
      <c r="I36" s="33"/>
      <c r="J36" s="32"/>
    </row>
    <row r="37" spans="1:10" ht="15.75" customHeight="1" x14ac:dyDescent="0.25">
      <c r="B37" s="25"/>
      <c r="C37" s="19"/>
      <c r="D37" s="8"/>
      <c r="E37" s="19"/>
      <c r="F37" s="25"/>
      <c r="G37" s="8"/>
      <c r="H37" s="25"/>
      <c r="I37" s="19"/>
      <c r="J37" s="25"/>
    </row>
    <row r="38" spans="1:10" ht="49.5" customHeight="1" x14ac:dyDescent="0.25">
      <c r="B38" s="124" t="s">
        <v>83</v>
      </c>
      <c r="C38" s="125"/>
      <c r="D38" s="125"/>
      <c r="E38" s="125"/>
      <c r="F38" s="125"/>
      <c r="G38" s="125"/>
      <c r="H38" s="125"/>
      <c r="I38" s="125"/>
      <c r="J38" s="125"/>
    </row>
    <row r="39" spans="1:10" ht="15.75" customHeight="1" x14ac:dyDescent="0.25">
      <c r="B39" s="30" t="s">
        <v>4</v>
      </c>
      <c r="C39" s="30" t="s">
        <v>5</v>
      </c>
      <c r="D39" s="11" t="s">
        <v>6</v>
      </c>
      <c r="E39" s="11" t="s">
        <v>7</v>
      </c>
      <c r="F39" s="12" t="s">
        <v>8</v>
      </c>
      <c r="G39" s="11" t="s">
        <v>9</v>
      </c>
      <c r="H39" s="31" t="s">
        <v>10</v>
      </c>
      <c r="I39" s="30" t="s">
        <v>11</v>
      </c>
      <c r="J39" s="31" t="s">
        <v>12</v>
      </c>
    </row>
    <row r="40" spans="1:10" ht="72" customHeight="1" x14ac:dyDescent="0.25">
      <c r="A40" s="1">
        <v>1</v>
      </c>
      <c r="B40" s="32" t="s">
        <v>84</v>
      </c>
      <c r="C40" s="33" t="s">
        <v>85</v>
      </c>
      <c r="D40" s="22">
        <v>1</v>
      </c>
      <c r="E40" s="23" t="s">
        <v>86</v>
      </c>
      <c r="F40" s="23" t="s">
        <v>87</v>
      </c>
      <c r="G40" s="24">
        <v>0.6</v>
      </c>
      <c r="H40" s="32" t="s">
        <v>342</v>
      </c>
      <c r="I40" s="33"/>
      <c r="J40" s="32"/>
    </row>
    <row r="41" spans="1:10" ht="50.25" customHeight="1" x14ac:dyDescent="0.25">
      <c r="A41" s="1">
        <v>2</v>
      </c>
      <c r="B41" s="32" t="s">
        <v>88</v>
      </c>
      <c r="C41" s="33" t="s">
        <v>85</v>
      </c>
      <c r="D41" s="22">
        <v>2</v>
      </c>
      <c r="E41" s="23" t="s">
        <v>89</v>
      </c>
      <c r="F41" s="23" t="s">
        <v>90</v>
      </c>
      <c r="G41" s="22">
        <v>5</v>
      </c>
      <c r="H41" s="32" t="s">
        <v>343</v>
      </c>
      <c r="I41" s="33"/>
      <c r="J41" s="32"/>
    </row>
    <row r="42" spans="1:10" ht="84" customHeight="1" x14ac:dyDescent="0.25">
      <c r="A42" s="1">
        <v>3</v>
      </c>
      <c r="B42" s="32" t="s">
        <v>91</v>
      </c>
      <c r="C42" s="33" t="s">
        <v>85</v>
      </c>
      <c r="D42" s="22">
        <v>3</v>
      </c>
      <c r="E42" s="23" t="s">
        <v>92</v>
      </c>
      <c r="F42" s="23" t="s">
        <v>93</v>
      </c>
      <c r="G42" s="24">
        <v>0.9</v>
      </c>
      <c r="H42" s="32" t="s">
        <v>343</v>
      </c>
      <c r="I42" s="33"/>
      <c r="J42" s="32"/>
    </row>
    <row r="43" spans="1:10" ht="69.75" customHeight="1" x14ac:dyDescent="0.25">
      <c r="A43" s="1">
        <v>4</v>
      </c>
      <c r="B43" s="32" t="s">
        <v>94</v>
      </c>
      <c r="C43" s="33" t="s">
        <v>85</v>
      </c>
      <c r="D43" s="22">
        <v>4</v>
      </c>
      <c r="E43" s="23" t="s">
        <v>95</v>
      </c>
      <c r="F43" s="23" t="s">
        <v>96</v>
      </c>
      <c r="G43" s="22">
        <v>3</v>
      </c>
      <c r="H43" s="32" t="s">
        <v>342</v>
      </c>
      <c r="I43" s="33"/>
      <c r="J43" s="32"/>
    </row>
    <row r="44" spans="1:10" ht="15.75" customHeight="1" x14ac:dyDescent="0.25">
      <c r="B44" s="25"/>
      <c r="C44" s="19"/>
      <c r="D44" s="8"/>
      <c r="E44" s="19"/>
      <c r="F44" s="25"/>
      <c r="G44" s="8"/>
      <c r="H44" s="25"/>
      <c r="I44" s="19"/>
      <c r="J44" s="25"/>
    </row>
    <row r="45" spans="1:10" ht="48.75" customHeight="1" x14ac:dyDescent="0.25">
      <c r="B45" s="124" t="s">
        <v>97</v>
      </c>
      <c r="C45" s="125"/>
      <c r="D45" s="125"/>
      <c r="E45" s="125"/>
      <c r="F45" s="125"/>
      <c r="G45" s="125"/>
      <c r="H45" s="125"/>
      <c r="I45" s="125"/>
      <c r="J45" s="125"/>
    </row>
    <row r="46" spans="1:10" ht="15.75" customHeight="1" x14ac:dyDescent="0.25">
      <c r="B46" s="30" t="s">
        <v>4</v>
      </c>
      <c r="C46" s="30" t="s">
        <v>5</v>
      </c>
      <c r="D46" s="11" t="s">
        <v>6</v>
      </c>
      <c r="E46" s="11" t="s">
        <v>7</v>
      </c>
      <c r="F46" s="12" t="s">
        <v>8</v>
      </c>
      <c r="G46" s="11" t="s">
        <v>9</v>
      </c>
      <c r="H46" s="31" t="s">
        <v>10</v>
      </c>
      <c r="I46" s="30" t="s">
        <v>11</v>
      </c>
      <c r="J46" s="31" t="s">
        <v>12</v>
      </c>
    </row>
    <row r="47" spans="1:10" ht="82.5" customHeight="1" x14ac:dyDescent="0.25">
      <c r="A47" s="1">
        <v>1</v>
      </c>
      <c r="B47" s="32" t="s">
        <v>98</v>
      </c>
      <c r="C47" s="33" t="s">
        <v>85</v>
      </c>
      <c r="D47" s="22">
        <v>1</v>
      </c>
      <c r="E47" s="23" t="s">
        <v>99</v>
      </c>
      <c r="F47" s="23" t="s">
        <v>100</v>
      </c>
      <c r="G47" s="24">
        <v>1</v>
      </c>
      <c r="H47" s="32" t="s">
        <v>344</v>
      </c>
      <c r="I47" s="33"/>
      <c r="J47" s="32"/>
    </row>
    <row r="48" spans="1:10" ht="72" customHeight="1" x14ac:dyDescent="0.25">
      <c r="A48" s="1">
        <v>2</v>
      </c>
      <c r="B48" s="32" t="s">
        <v>101</v>
      </c>
      <c r="C48" s="33" t="s">
        <v>85</v>
      </c>
      <c r="D48" s="22">
        <v>2</v>
      </c>
      <c r="E48" s="23" t="s">
        <v>102</v>
      </c>
      <c r="F48" s="23" t="s">
        <v>103</v>
      </c>
      <c r="G48" s="24">
        <v>1</v>
      </c>
      <c r="H48" s="32" t="s">
        <v>344</v>
      </c>
      <c r="I48" s="33"/>
      <c r="J48" s="32"/>
    </row>
    <row r="49" spans="1:10" ht="67.5" customHeight="1" x14ac:dyDescent="0.25">
      <c r="A49" s="1">
        <v>3</v>
      </c>
      <c r="B49" s="32" t="s">
        <v>104</v>
      </c>
      <c r="C49" s="33" t="s">
        <v>85</v>
      </c>
      <c r="D49" s="22">
        <v>3</v>
      </c>
      <c r="E49" s="23" t="s">
        <v>105</v>
      </c>
      <c r="F49" s="23" t="s">
        <v>106</v>
      </c>
      <c r="G49" s="22">
        <v>1</v>
      </c>
      <c r="H49" s="32" t="s">
        <v>107</v>
      </c>
      <c r="I49" s="33"/>
      <c r="J49" s="32"/>
    </row>
    <row r="50" spans="1:10" ht="89.25" customHeight="1" x14ac:dyDescent="0.25">
      <c r="A50" s="1">
        <v>4</v>
      </c>
      <c r="B50" s="32"/>
      <c r="C50" s="33" t="s">
        <v>108</v>
      </c>
      <c r="D50" s="22"/>
      <c r="E50" s="23"/>
      <c r="F50" s="23" t="s">
        <v>109</v>
      </c>
      <c r="G50" s="24">
        <v>1</v>
      </c>
      <c r="H50" s="32" t="s">
        <v>107</v>
      </c>
      <c r="I50" s="33"/>
      <c r="J50" s="32"/>
    </row>
    <row r="51" spans="1:10" ht="66.75" customHeight="1" x14ac:dyDescent="0.25">
      <c r="A51" s="1">
        <v>5</v>
      </c>
      <c r="B51" s="32" t="s">
        <v>110</v>
      </c>
      <c r="C51" s="33" t="s">
        <v>85</v>
      </c>
      <c r="D51" s="22">
        <v>4</v>
      </c>
      <c r="E51" s="23" t="s">
        <v>111</v>
      </c>
      <c r="F51" s="23" t="s">
        <v>112</v>
      </c>
      <c r="G51" s="40">
        <v>3</v>
      </c>
      <c r="H51" s="32" t="s">
        <v>344</v>
      </c>
      <c r="I51" s="33"/>
      <c r="J51" s="32"/>
    </row>
    <row r="52" spans="1:10" ht="51" customHeight="1" x14ac:dyDescent="0.25">
      <c r="A52" s="1">
        <v>6</v>
      </c>
      <c r="B52" s="32" t="s">
        <v>113</v>
      </c>
      <c r="C52" s="33" t="s">
        <v>20</v>
      </c>
      <c r="D52" s="22">
        <v>5</v>
      </c>
      <c r="E52" s="23" t="s">
        <v>114</v>
      </c>
      <c r="F52" s="23" t="s">
        <v>115</v>
      </c>
      <c r="G52" s="22">
        <v>3</v>
      </c>
      <c r="H52" s="32" t="s">
        <v>24</v>
      </c>
      <c r="I52" s="33"/>
      <c r="J52" s="32"/>
    </row>
    <row r="53" spans="1:10" ht="58.5" customHeight="1" x14ac:dyDescent="0.25">
      <c r="A53" s="1">
        <v>7</v>
      </c>
      <c r="B53" s="32"/>
      <c r="C53" s="33" t="s">
        <v>116</v>
      </c>
      <c r="D53" s="22"/>
      <c r="E53" s="23"/>
      <c r="F53" s="23" t="s">
        <v>117</v>
      </c>
      <c r="G53" s="24">
        <v>0.7</v>
      </c>
      <c r="H53" s="32" t="s">
        <v>24</v>
      </c>
      <c r="I53" s="33"/>
      <c r="J53" s="32"/>
    </row>
    <row r="54" spans="1:10" ht="64.5" customHeight="1" x14ac:dyDescent="0.25">
      <c r="A54" s="1">
        <v>8</v>
      </c>
      <c r="B54" s="32" t="s">
        <v>118</v>
      </c>
      <c r="C54" s="33" t="s">
        <v>85</v>
      </c>
      <c r="D54" s="22">
        <v>6</v>
      </c>
      <c r="E54" s="23" t="s">
        <v>119</v>
      </c>
      <c r="F54" s="23" t="s">
        <v>120</v>
      </c>
      <c r="G54" s="24">
        <v>1</v>
      </c>
      <c r="H54" s="32" t="s">
        <v>345</v>
      </c>
      <c r="I54" s="33"/>
      <c r="J54" s="32"/>
    </row>
    <row r="55" spans="1:10" ht="70.5" customHeight="1" x14ac:dyDescent="0.25">
      <c r="A55" s="1">
        <v>9</v>
      </c>
      <c r="B55" s="32"/>
      <c r="C55" s="33" t="s">
        <v>85</v>
      </c>
      <c r="D55" s="22"/>
      <c r="E55" s="26"/>
      <c r="F55" s="23" t="s">
        <v>121</v>
      </c>
      <c r="G55" s="24">
        <v>1</v>
      </c>
      <c r="H55" s="32" t="s">
        <v>345</v>
      </c>
      <c r="I55" s="33"/>
      <c r="J55" s="32"/>
    </row>
    <row r="56" spans="1:10" ht="83.25" customHeight="1" x14ac:dyDescent="0.25">
      <c r="A56" s="1">
        <v>10</v>
      </c>
      <c r="B56" s="41" t="s">
        <v>122</v>
      </c>
      <c r="C56" s="42" t="s">
        <v>85</v>
      </c>
      <c r="D56" s="43"/>
      <c r="E56" s="26"/>
      <c r="F56" s="23" t="s">
        <v>123</v>
      </c>
      <c r="G56" s="24">
        <v>1</v>
      </c>
      <c r="H56" s="41" t="s">
        <v>345</v>
      </c>
      <c r="I56" s="42"/>
      <c r="J56" s="41"/>
    </row>
    <row r="57" spans="1:10" ht="85.5" customHeight="1" x14ac:dyDescent="0.25">
      <c r="A57" s="1">
        <v>11</v>
      </c>
      <c r="B57" s="41"/>
      <c r="C57" s="42" t="s">
        <v>124</v>
      </c>
      <c r="D57" s="43">
        <v>7</v>
      </c>
      <c r="E57" s="23" t="s">
        <v>125</v>
      </c>
      <c r="F57" s="23" t="s">
        <v>126</v>
      </c>
      <c r="G57" s="24">
        <v>1</v>
      </c>
      <c r="H57" s="41" t="s">
        <v>341</v>
      </c>
      <c r="I57" s="42"/>
      <c r="J57" s="41"/>
    </row>
    <row r="58" spans="1:10" ht="89.25" customHeight="1" x14ac:dyDescent="0.25">
      <c r="A58" s="1">
        <v>12</v>
      </c>
      <c r="B58" s="41"/>
      <c r="C58" s="42" t="s">
        <v>124</v>
      </c>
      <c r="D58" s="43"/>
      <c r="E58" s="23"/>
      <c r="F58" s="23" t="s">
        <v>127</v>
      </c>
      <c r="G58" s="24">
        <v>1</v>
      </c>
      <c r="H58" s="41" t="s">
        <v>341</v>
      </c>
      <c r="I58" s="42"/>
      <c r="J58" s="41"/>
    </row>
    <row r="59" spans="1:10" ht="56.25" customHeight="1" x14ac:dyDescent="0.25">
      <c r="A59" s="1">
        <v>13</v>
      </c>
      <c r="B59" s="41"/>
      <c r="C59" s="42" t="s">
        <v>20</v>
      </c>
      <c r="D59" s="43">
        <v>8</v>
      </c>
      <c r="E59" s="23" t="s">
        <v>128</v>
      </c>
      <c r="F59" s="35" t="s">
        <v>129</v>
      </c>
      <c r="G59" s="44">
        <v>0.99</v>
      </c>
      <c r="H59" s="41" t="s">
        <v>107</v>
      </c>
      <c r="I59" s="42"/>
      <c r="J59" s="41"/>
    </row>
    <row r="60" spans="1:10" ht="39.75" customHeight="1" x14ac:dyDescent="0.25">
      <c r="A60" s="1">
        <v>14</v>
      </c>
      <c r="B60" s="41"/>
      <c r="C60" s="42" t="s">
        <v>20</v>
      </c>
      <c r="D60" s="43"/>
      <c r="E60" s="45"/>
      <c r="F60" s="46" t="s">
        <v>131</v>
      </c>
      <c r="G60" s="43">
        <v>3.4</v>
      </c>
      <c r="H60" s="41" t="s">
        <v>107</v>
      </c>
      <c r="I60" s="42"/>
      <c r="J60" s="41"/>
    </row>
    <row r="61" spans="1:10" ht="39.75" customHeight="1" x14ac:dyDescent="0.25">
      <c r="A61" s="1">
        <v>15</v>
      </c>
      <c r="B61" s="47"/>
      <c r="C61" s="42" t="s">
        <v>124</v>
      </c>
      <c r="D61" s="16"/>
      <c r="E61" s="17"/>
      <c r="F61" s="48" t="s">
        <v>132</v>
      </c>
      <c r="G61" s="49">
        <v>75</v>
      </c>
      <c r="H61" s="41" t="s">
        <v>107</v>
      </c>
      <c r="I61" s="42"/>
      <c r="J61" s="41"/>
    </row>
    <row r="62" spans="1:10" ht="39.75" customHeight="1" x14ac:dyDescent="0.25">
      <c r="A62" s="1">
        <v>16</v>
      </c>
      <c r="B62" s="47"/>
      <c r="C62" s="50" t="s">
        <v>124</v>
      </c>
      <c r="D62" s="16"/>
      <c r="E62" s="17"/>
      <c r="F62" s="48" t="s">
        <v>133</v>
      </c>
      <c r="G62" s="49">
        <v>75</v>
      </c>
      <c r="H62" s="41" t="s">
        <v>107</v>
      </c>
      <c r="I62" s="42"/>
      <c r="J62" s="41"/>
    </row>
    <row r="63" spans="1:10" ht="54" customHeight="1" x14ac:dyDescent="0.25">
      <c r="A63" s="1">
        <v>17</v>
      </c>
      <c r="B63" s="41" t="s">
        <v>134</v>
      </c>
      <c r="C63" s="51" t="s">
        <v>85</v>
      </c>
      <c r="D63" s="52">
        <v>9</v>
      </c>
      <c r="E63" s="25" t="s">
        <v>135</v>
      </c>
      <c r="F63" s="53" t="s">
        <v>136</v>
      </c>
      <c r="G63" s="54">
        <v>1</v>
      </c>
      <c r="H63" s="41" t="s">
        <v>344</v>
      </c>
      <c r="I63" s="42"/>
      <c r="J63" s="41"/>
    </row>
    <row r="64" spans="1:10" ht="54" customHeight="1" x14ac:dyDescent="0.25">
      <c r="A64" s="1">
        <v>18</v>
      </c>
      <c r="B64" s="41"/>
      <c r="C64" s="33" t="s">
        <v>85</v>
      </c>
      <c r="D64" s="22"/>
      <c r="E64" s="55"/>
      <c r="F64" s="23" t="s">
        <v>137</v>
      </c>
      <c r="G64" s="34" t="s">
        <v>138</v>
      </c>
      <c r="H64" s="41" t="s">
        <v>344</v>
      </c>
      <c r="I64" s="42"/>
      <c r="J64" s="41"/>
    </row>
    <row r="65" spans="1:10" ht="15.75" customHeight="1" x14ac:dyDescent="0.25">
      <c r="B65" s="56"/>
      <c r="D65" s="2"/>
      <c r="F65" s="3"/>
      <c r="G65" s="2"/>
      <c r="H65" s="3"/>
    </row>
    <row r="66" spans="1:10" ht="29.25" customHeight="1" x14ac:dyDescent="0.25">
      <c r="B66" s="7" t="s">
        <v>139</v>
      </c>
      <c r="D66" s="2"/>
      <c r="F66" s="3"/>
      <c r="G66" s="2"/>
      <c r="H66" s="3"/>
    </row>
    <row r="67" spans="1:10" ht="15.75" customHeight="1" x14ac:dyDescent="0.25">
      <c r="B67" s="30" t="s">
        <v>4</v>
      </c>
      <c r="C67" s="30" t="s">
        <v>5</v>
      </c>
      <c r="D67" s="11" t="s">
        <v>6</v>
      </c>
      <c r="E67" s="11" t="s">
        <v>7</v>
      </c>
      <c r="F67" s="12" t="s">
        <v>8</v>
      </c>
      <c r="G67" s="11" t="s">
        <v>9</v>
      </c>
      <c r="H67" s="31" t="s">
        <v>340</v>
      </c>
      <c r="I67" s="30" t="s">
        <v>11</v>
      </c>
      <c r="J67" s="31" t="s">
        <v>12</v>
      </c>
    </row>
    <row r="68" spans="1:10" ht="61.5" customHeight="1" x14ac:dyDescent="0.25">
      <c r="A68" s="1">
        <v>1</v>
      </c>
      <c r="B68" s="32" t="s">
        <v>140</v>
      </c>
      <c r="C68" s="33" t="s">
        <v>20</v>
      </c>
      <c r="D68" s="22">
        <v>1</v>
      </c>
      <c r="E68" s="23" t="s">
        <v>141</v>
      </c>
      <c r="F68" s="23" t="s">
        <v>142</v>
      </c>
      <c r="G68" s="24">
        <v>0.15</v>
      </c>
      <c r="H68" s="32" t="s">
        <v>143</v>
      </c>
      <c r="I68" s="33"/>
      <c r="J68" s="32"/>
    </row>
    <row r="69" spans="1:10" ht="77.25" customHeight="1" x14ac:dyDescent="0.25">
      <c r="A69" s="1">
        <v>2</v>
      </c>
      <c r="B69" s="32"/>
      <c r="C69" s="33" t="s">
        <v>20</v>
      </c>
      <c r="D69" s="22">
        <v>2</v>
      </c>
      <c r="E69" s="23" t="s">
        <v>144</v>
      </c>
      <c r="F69" s="23" t="s">
        <v>145</v>
      </c>
      <c r="G69" s="24">
        <v>1</v>
      </c>
      <c r="H69" s="32" t="s">
        <v>130</v>
      </c>
      <c r="I69" s="33"/>
      <c r="J69" s="32"/>
    </row>
    <row r="70" spans="1:10" ht="75" customHeight="1" x14ac:dyDescent="0.25">
      <c r="A70" s="1">
        <v>3</v>
      </c>
      <c r="B70" s="32" t="s">
        <v>146</v>
      </c>
      <c r="C70" s="33" t="s">
        <v>31</v>
      </c>
      <c r="D70" s="22">
        <v>3</v>
      </c>
      <c r="E70" s="23" t="s">
        <v>147</v>
      </c>
      <c r="F70" s="23" t="s">
        <v>148</v>
      </c>
      <c r="G70" s="24">
        <v>0.8</v>
      </c>
      <c r="H70" s="32" t="s">
        <v>149</v>
      </c>
      <c r="I70" s="33"/>
      <c r="J70" s="32"/>
    </row>
    <row r="71" spans="1:10" ht="94.5" x14ac:dyDescent="0.25">
      <c r="A71" s="1">
        <v>4</v>
      </c>
      <c r="B71" s="32" t="s">
        <v>150</v>
      </c>
      <c r="C71" s="33" t="s">
        <v>20</v>
      </c>
      <c r="D71" s="22">
        <v>4</v>
      </c>
      <c r="E71" s="23" t="s">
        <v>151</v>
      </c>
      <c r="F71" s="23" t="s">
        <v>152</v>
      </c>
      <c r="G71" s="24">
        <v>1</v>
      </c>
      <c r="H71" s="32" t="s">
        <v>153</v>
      </c>
      <c r="I71" s="33"/>
      <c r="J71" s="32"/>
    </row>
    <row r="72" spans="1:10" ht="47.25" x14ac:dyDescent="0.25">
      <c r="A72" s="1">
        <v>5</v>
      </c>
      <c r="B72" s="32"/>
      <c r="C72" s="33" t="s">
        <v>20</v>
      </c>
      <c r="D72" s="22"/>
      <c r="E72" s="23"/>
      <c r="F72" s="23" t="s">
        <v>154</v>
      </c>
      <c r="G72" s="24">
        <v>1</v>
      </c>
      <c r="H72" s="57" t="s">
        <v>130</v>
      </c>
      <c r="I72" s="33"/>
      <c r="J72" s="32"/>
    </row>
    <row r="73" spans="1:10" ht="39.75" customHeight="1" x14ac:dyDescent="0.25">
      <c r="A73" s="1">
        <v>6</v>
      </c>
      <c r="B73" s="32"/>
      <c r="C73" s="33" t="s">
        <v>20</v>
      </c>
      <c r="D73" s="22"/>
      <c r="E73" s="23"/>
      <c r="F73" s="23" t="s">
        <v>155</v>
      </c>
      <c r="G73" s="24" t="s">
        <v>156</v>
      </c>
      <c r="H73" s="32" t="s">
        <v>157</v>
      </c>
      <c r="I73" s="33"/>
      <c r="J73" s="32"/>
    </row>
    <row r="74" spans="1:10" ht="67.5" customHeight="1" x14ac:dyDescent="0.25">
      <c r="A74" s="1">
        <v>7</v>
      </c>
      <c r="B74" s="32" t="s">
        <v>158</v>
      </c>
      <c r="C74" s="33" t="s">
        <v>159</v>
      </c>
      <c r="D74" s="22">
        <v>5</v>
      </c>
      <c r="E74" s="23" t="s">
        <v>160</v>
      </c>
      <c r="F74" s="23" t="s">
        <v>161</v>
      </c>
      <c r="G74" s="22">
        <v>3</v>
      </c>
      <c r="H74" s="32" t="s">
        <v>162</v>
      </c>
      <c r="I74" s="33"/>
      <c r="J74" s="32"/>
    </row>
    <row r="75" spans="1:10" ht="47.25" x14ac:dyDescent="0.25">
      <c r="A75" s="1">
        <v>8</v>
      </c>
      <c r="B75" s="32"/>
      <c r="C75" s="33" t="s">
        <v>124</v>
      </c>
      <c r="D75" s="22"/>
      <c r="E75" s="23"/>
      <c r="F75" s="23" t="s">
        <v>163</v>
      </c>
      <c r="G75" s="22">
        <v>1</v>
      </c>
      <c r="H75" s="32" t="s">
        <v>162</v>
      </c>
      <c r="I75" s="33"/>
      <c r="J75" s="32"/>
    </row>
    <row r="76" spans="1:10" ht="15.75" customHeight="1" x14ac:dyDescent="0.25">
      <c r="B76" s="58">
        <f>SUM(A75,A64,A43,A36)</f>
        <v>45</v>
      </c>
      <c r="C76" s="59" t="s">
        <v>164</v>
      </c>
      <c r="D76" s="2"/>
      <c r="F76" s="3"/>
      <c r="G76" s="2"/>
      <c r="H76" s="3"/>
    </row>
    <row r="77" spans="1:10" ht="15.75" customHeight="1" x14ac:dyDescent="0.25">
      <c r="B77" s="5" t="s">
        <v>165</v>
      </c>
      <c r="D77" s="2"/>
      <c r="F77" s="3"/>
      <c r="G77" s="2"/>
      <c r="H77" s="3"/>
    </row>
    <row r="78" spans="1:10" ht="15.75" customHeight="1" x14ac:dyDescent="0.25">
      <c r="B78" s="6" t="s">
        <v>2</v>
      </c>
      <c r="D78" s="2"/>
      <c r="F78" s="3"/>
      <c r="G78" s="2"/>
      <c r="H78" s="3"/>
    </row>
    <row r="79" spans="1:10" ht="27.75" customHeight="1" x14ac:dyDescent="0.25">
      <c r="B79" s="7" t="s">
        <v>166</v>
      </c>
      <c r="D79" s="2"/>
      <c r="F79" s="3"/>
      <c r="G79" s="2"/>
      <c r="H79" s="3"/>
    </row>
    <row r="80" spans="1:10" ht="15.75" customHeight="1" x14ac:dyDescent="0.25">
      <c r="B80" s="60" t="s">
        <v>4</v>
      </c>
      <c r="C80" s="60" t="s">
        <v>5</v>
      </c>
      <c r="D80" s="11" t="s">
        <v>6</v>
      </c>
      <c r="E80" s="11" t="s">
        <v>7</v>
      </c>
      <c r="F80" s="12" t="s">
        <v>8</v>
      </c>
      <c r="G80" s="11" t="s">
        <v>9</v>
      </c>
      <c r="H80" s="61" t="s">
        <v>10</v>
      </c>
      <c r="I80" s="60" t="s">
        <v>11</v>
      </c>
      <c r="J80" s="61" t="s">
        <v>12</v>
      </c>
    </row>
    <row r="81" spans="1:10" ht="83.25" customHeight="1" x14ac:dyDescent="0.25">
      <c r="A81" s="1">
        <v>1</v>
      </c>
      <c r="B81" s="62" t="s">
        <v>167</v>
      </c>
      <c r="C81" s="63" t="s">
        <v>69</v>
      </c>
      <c r="D81" s="22">
        <v>1</v>
      </c>
      <c r="E81" s="64" t="s">
        <v>168</v>
      </c>
      <c r="F81" s="23" t="s">
        <v>169</v>
      </c>
      <c r="G81" s="38">
        <v>1</v>
      </c>
      <c r="H81" s="62" t="s">
        <v>170</v>
      </c>
      <c r="I81" s="63"/>
      <c r="J81" s="62"/>
    </row>
    <row r="82" spans="1:10" ht="69" customHeight="1" x14ac:dyDescent="0.25">
      <c r="A82" s="1">
        <v>2</v>
      </c>
      <c r="B82" s="62"/>
      <c r="C82" s="63" t="s">
        <v>171</v>
      </c>
      <c r="D82" s="22"/>
      <c r="E82" s="26"/>
      <c r="F82" s="23" t="s">
        <v>172</v>
      </c>
      <c r="G82" s="24">
        <v>0.5</v>
      </c>
      <c r="H82" s="62" t="s">
        <v>170</v>
      </c>
      <c r="I82" s="63"/>
      <c r="J82" s="62"/>
    </row>
    <row r="83" spans="1:10" ht="78.75" x14ac:dyDescent="0.25">
      <c r="A83" s="1">
        <v>3</v>
      </c>
      <c r="B83" s="62" t="s">
        <v>173</v>
      </c>
      <c r="C83" s="63" t="s">
        <v>171</v>
      </c>
      <c r="D83" s="22">
        <v>2</v>
      </c>
      <c r="E83" s="64" t="s">
        <v>174</v>
      </c>
      <c r="F83" s="65" t="s">
        <v>175</v>
      </c>
      <c r="G83" s="66">
        <v>2</v>
      </c>
      <c r="H83" s="62" t="s">
        <v>176</v>
      </c>
      <c r="I83" s="63"/>
      <c r="J83" s="62"/>
    </row>
    <row r="84" spans="1:10" ht="65.25" customHeight="1" x14ac:dyDescent="0.25">
      <c r="A84" s="1">
        <v>4</v>
      </c>
      <c r="B84" s="62"/>
      <c r="C84" s="63" t="s">
        <v>171</v>
      </c>
      <c r="D84" s="22"/>
      <c r="E84" s="67"/>
      <c r="F84" s="68" t="s">
        <v>177</v>
      </c>
      <c r="G84" s="69">
        <v>0.25</v>
      </c>
      <c r="H84" s="62" t="s">
        <v>178</v>
      </c>
      <c r="I84" s="63"/>
      <c r="J84" s="62"/>
    </row>
    <row r="85" spans="1:10" ht="87.75" customHeight="1" x14ac:dyDescent="0.25">
      <c r="A85" s="1">
        <v>5</v>
      </c>
      <c r="B85" s="62" t="s">
        <v>179</v>
      </c>
      <c r="C85" s="63" t="s">
        <v>80</v>
      </c>
      <c r="D85" s="70">
        <v>3</v>
      </c>
      <c r="E85" s="17" t="s">
        <v>180</v>
      </c>
      <c r="F85" s="17" t="s">
        <v>181</v>
      </c>
      <c r="G85" s="71">
        <v>0.05</v>
      </c>
      <c r="H85" s="62" t="s">
        <v>182</v>
      </c>
      <c r="I85" s="63"/>
      <c r="J85" s="62"/>
    </row>
    <row r="86" spans="1:10" ht="53.25" customHeight="1" x14ac:dyDescent="0.25">
      <c r="A86" s="1">
        <v>6</v>
      </c>
      <c r="B86" s="62" t="s">
        <v>183</v>
      </c>
      <c r="C86" s="63" t="s">
        <v>171</v>
      </c>
      <c r="D86" s="70">
        <v>4</v>
      </c>
      <c r="E86" s="72" t="s">
        <v>184</v>
      </c>
      <c r="F86" s="73" t="s">
        <v>185</v>
      </c>
      <c r="G86" s="8">
        <v>1</v>
      </c>
      <c r="H86" s="62" t="s">
        <v>186</v>
      </c>
      <c r="I86" s="63"/>
      <c r="J86" s="62"/>
    </row>
    <row r="87" spans="1:10" ht="66.75" customHeight="1" x14ac:dyDescent="0.25">
      <c r="A87" s="1">
        <v>7</v>
      </c>
      <c r="B87" s="62" t="s">
        <v>187</v>
      </c>
      <c r="C87" s="63" t="s">
        <v>171</v>
      </c>
      <c r="D87" s="22">
        <v>5</v>
      </c>
      <c r="E87" s="64" t="s">
        <v>188</v>
      </c>
      <c r="F87" s="64" t="s">
        <v>189</v>
      </c>
      <c r="G87" s="74">
        <v>0.6</v>
      </c>
      <c r="H87" s="62" t="s">
        <v>190</v>
      </c>
      <c r="I87" s="63"/>
      <c r="J87" s="62"/>
    </row>
    <row r="88" spans="1:10" ht="71.25" customHeight="1" x14ac:dyDescent="0.25">
      <c r="A88" s="1">
        <v>8</v>
      </c>
      <c r="B88" s="62"/>
      <c r="C88" s="63" t="s">
        <v>171</v>
      </c>
      <c r="D88" s="22"/>
      <c r="E88" s="26"/>
      <c r="F88" s="23" t="s">
        <v>191</v>
      </c>
      <c r="G88" s="24">
        <v>0.2</v>
      </c>
      <c r="H88" s="62" t="s">
        <v>192</v>
      </c>
      <c r="I88" s="63"/>
      <c r="J88" s="62"/>
    </row>
    <row r="89" spans="1:10" ht="15.75" customHeight="1" x14ac:dyDescent="0.25">
      <c r="B89" s="25"/>
      <c r="C89" s="19"/>
      <c r="D89" s="8"/>
      <c r="E89" s="19"/>
      <c r="F89" s="25"/>
      <c r="G89" s="8"/>
      <c r="H89" s="25"/>
      <c r="I89" s="19"/>
      <c r="J89" s="25"/>
    </row>
    <row r="90" spans="1:10" ht="24" customHeight="1" x14ac:dyDescent="0.25">
      <c r="B90" s="7" t="s">
        <v>193</v>
      </c>
      <c r="D90" s="2"/>
      <c r="F90" s="3"/>
      <c r="G90" s="2"/>
      <c r="H90" s="3"/>
    </row>
    <row r="91" spans="1:10" ht="15.75" customHeight="1" x14ac:dyDescent="0.25">
      <c r="B91" s="60" t="s">
        <v>4</v>
      </c>
      <c r="C91" s="60" t="s">
        <v>5</v>
      </c>
      <c r="D91" s="11" t="s">
        <v>6</v>
      </c>
      <c r="E91" s="11" t="s">
        <v>7</v>
      </c>
      <c r="F91" s="12" t="s">
        <v>8</v>
      </c>
      <c r="G91" s="11" t="s">
        <v>9</v>
      </c>
      <c r="H91" s="61" t="s">
        <v>10</v>
      </c>
      <c r="I91" s="60" t="s">
        <v>11</v>
      </c>
      <c r="J91" s="61" t="s">
        <v>12</v>
      </c>
    </row>
    <row r="92" spans="1:10" ht="63" x14ac:dyDescent="0.25">
      <c r="A92" s="1">
        <v>1</v>
      </c>
      <c r="B92" s="62" t="s">
        <v>194</v>
      </c>
      <c r="C92" s="63" t="s">
        <v>171</v>
      </c>
      <c r="D92" s="22">
        <v>1</v>
      </c>
      <c r="E92" s="23" t="s">
        <v>195</v>
      </c>
      <c r="F92" s="23" t="s">
        <v>196</v>
      </c>
      <c r="G92" s="24">
        <v>1</v>
      </c>
      <c r="H92" s="62" t="s">
        <v>197</v>
      </c>
      <c r="I92" s="63"/>
      <c r="J92" s="62"/>
    </row>
    <row r="93" spans="1:10" ht="78.75" x14ac:dyDescent="0.25">
      <c r="A93" s="1">
        <v>2</v>
      </c>
      <c r="B93" s="62" t="s">
        <v>198</v>
      </c>
      <c r="C93" s="63" t="s">
        <v>171</v>
      </c>
      <c r="D93" s="43">
        <v>2</v>
      </c>
      <c r="E93" s="45" t="s">
        <v>199</v>
      </c>
      <c r="F93" s="75" t="s">
        <v>200</v>
      </c>
      <c r="G93" s="76">
        <v>0.75</v>
      </c>
      <c r="H93" s="62" t="s">
        <v>201</v>
      </c>
      <c r="I93" s="63"/>
      <c r="J93" s="62"/>
    </row>
    <row r="94" spans="1:10" ht="78.75" x14ac:dyDescent="0.25">
      <c r="A94" s="1">
        <v>3</v>
      </c>
      <c r="B94" s="62"/>
      <c r="C94" s="63" t="s">
        <v>171</v>
      </c>
      <c r="D94" s="16"/>
      <c r="E94" s="77"/>
      <c r="F94" s="72" t="s">
        <v>202</v>
      </c>
      <c r="G94" s="78">
        <v>0.5</v>
      </c>
      <c r="H94" s="79" t="s">
        <v>203</v>
      </c>
      <c r="I94" s="63"/>
      <c r="J94" s="62"/>
    </row>
    <row r="95" spans="1:10" ht="15.75" customHeight="1" x14ac:dyDescent="0.25">
      <c r="B95" s="25"/>
      <c r="C95" s="19"/>
      <c r="D95" s="8"/>
      <c r="E95" s="19"/>
      <c r="F95" s="25"/>
      <c r="G95" s="8"/>
      <c r="H95" s="25"/>
      <c r="I95" s="19"/>
      <c r="J95" s="25"/>
    </row>
    <row r="96" spans="1:10" ht="25.5" customHeight="1" x14ac:dyDescent="0.25">
      <c r="B96" s="7" t="s">
        <v>204</v>
      </c>
      <c r="D96" s="2"/>
      <c r="F96" s="3"/>
      <c r="G96" s="2"/>
      <c r="H96" s="3"/>
    </row>
    <row r="97" spans="1:10" ht="15.75" customHeight="1" x14ac:dyDescent="0.25">
      <c r="B97" s="60" t="s">
        <v>4</v>
      </c>
      <c r="C97" s="60" t="s">
        <v>5</v>
      </c>
      <c r="D97" s="11" t="s">
        <v>6</v>
      </c>
      <c r="E97" s="11" t="s">
        <v>7</v>
      </c>
      <c r="F97" s="12" t="s">
        <v>8</v>
      </c>
      <c r="G97" s="11" t="s">
        <v>9</v>
      </c>
      <c r="H97" s="61" t="s">
        <v>10</v>
      </c>
      <c r="I97" s="60" t="s">
        <v>11</v>
      </c>
      <c r="J97" s="61" t="s">
        <v>12</v>
      </c>
    </row>
    <row r="98" spans="1:10" ht="78.75" x14ac:dyDescent="0.25">
      <c r="A98" s="1">
        <v>1</v>
      </c>
      <c r="B98" s="62" t="s">
        <v>205</v>
      </c>
      <c r="C98" s="63" t="s">
        <v>171</v>
      </c>
      <c r="D98" s="22">
        <v>1</v>
      </c>
      <c r="E98" s="64" t="s">
        <v>206</v>
      </c>
      <c r="F98" s="64" t="s">
        <v>207</v>
      </c>
      <c r="G98" s="74">
        <v>0.25</v>
      </c>
      <c r="H98" s="62" t="s">
        <v>208</v>
      </c>
      <c r="I98" s="63"/>
      <c r="J98" s="62"/>
    </row>
    <row r="99" spans="1:10" ht="124.5" customHeight="1" x14ac:dyDescent="0.25">
      <c r="A99" s="1">
        <v>2</v>
      </c>
      <c r="B99" s="62" t="s">
        <v>209</v>
      </c>
      <c r="C99" s="63" t="s">
        <v>57</v>
      </c>
      <c r="D99" s="22">
        <v>2</v>
      </c>
      <c r="E99" s="64" t="s">
        <v>210</v>
      </c>
      <c r="F99" s="64" t="s">
        <v>211</v>
      </c>
      <c r="G99" s="66">
        <v>2</v>
      </c>
      <c r="H99" s="62" t="s">
        <v>212</v>
      </c>
      <c r="I99" s="63"/>
      <c r="J99" s="62"/>
    </row>
    <row r="100" spans="1:10" ht="58.5" customHeight="1" x14ac:dyDescent="0.25">
      <c r="A100" s="1">
        <v>3</v>
      </c>
      <c r="B100" s="62" t="s">
        <v>213</v>
      </c>
      <c r="C100" s="63" t="s">
        <v>171</v>
      </c>
      <c r="D100" s="22"/>
      <c r="E100" s="80"/>
      <c r="F100" s="64" t="s">
        <v>214</v>
      </c>
      <c r="G100" s="74">
        <v>0.5</v>
      </c>
      <c r="H100" s="62" t="s">
        <v>212</v>
      </c>
      <c r="I100" s="63"/>
      <c r="J100" s="62"/>
    </row>
    <row r="101" spans="1:10" ht="129" customHeight="1" x14ac:dyDescent="0.25">
      <c r="A101" s="1">
        <v>4</v>
      </c>
      <c r="B101" s="62" t="s">
        <v>215</v>
      </c>
      <c r="C101" s="63" t="s">
        <v>171</v>
      </c>
      <c r="D101" s="22">
        <v>3</v>
      </c>
      <c r="E101" s="23" t="s">
        <v>216</v>
      </c>
      <c r="F101" s="23" t="s">
        <v>217</v>
      </c>
      <c r="G101" s="24">
        <v>0.7</v>
      </c>
      <c r="H101" s="62" t="s">
        <v>218</v>
      </c>
      <c r="I101" s="63"/>
      <c r="J101" s="62"/>
    </row>
    <row r="102" spans="1:10" ht="74.25" customHeight="1" x14ac:dyDescent="0.25">
      <c r="A102" s="1">
        <v>5</v>
      </c>
      <c r="B102" s="62"/>
      <c r="C102" s="63"/>
      <c r="D102" s="22"/>
      <c r="E102" s="23"/>
      <c r="F102" s="23" t="s">
        <v>219</v>
      </c>
      <c r="G102" s="24">
        <v>0.3</v>
      </c>
      <c r="H102" s="62" t="s">
        <v>218</v>
      </c>
      <c r="I102" s="81"/>
      <c r="J102" s="62"/>
    </row>
    <row r="103" spans="1:10" ht="137.25" customHeight="1" x14ac:dyDescent="0.25">
      <c r="A103" s="1">
        <v>6</v>
      </c>
      <c r="B103" s="62" t="s">
        <v>220</v>
      </c>
      <c r="C103" s="63" t="s">
        <v>171</v>
      </c>
      <c r="D103" s="22">
        <v>4</v>
      </c>
      <c r="E103" s="64" t="s">
        <v>221</v>
      </c>
      <c r="F103" s="64" t="s">
        <v>222</v>
      </c>
      <c r="G103" s="66">
        <v>5</v>
      </c>
      <c r="H103" s="63" t="s">
        <v>223</v>
      </c>
      <c r="I103" s="82"/>
      <c r="J103" s="62"/>
    </row>
    <row r="104" spans="1:10" ht="71.25" customHeight="1" x14ac:dyDescent="0.25">
      <c r="A104" s="1">
        <v>7</v>
      </c>
      <c r="B104" s="62" t="s">
        <v>224</v>
      </c>
      <c r="C104" s="63" t="s">
        <v>171</v>
      </c>
      <c r="D104" s="22">
        <v>5</v>
      </c>
      <c r="E104" s="64" t="s">
        <v>225</v>
      </c>
      <c r="F104" s="64" t="s">
        <v>226</v>
      </c>
      <c r="G104" s="74">
        <v>0.2</v>
      </c>
      <c r="H104" s="62" t="s">
        <v>227</v>
      </c>
      <c r="I104" s="63"/>
      <c r="J104" s="62"/>
    </row>
    <row r="105" spans="1:10" ht="15.75" customHeight="1" x14ac:dyDescent="0.25">
      <c r="B105" s="58">
        <f>SUM(A104,A94,A88)</f>
        <v>18</v>
      </c>
      <c r="C105" s="83" t="s">
        <v>228</v>
      </c>
      <c r="D105" s="2"/>
      <c r="F105" s="3"/>
      <c r="G105" s="2"/>
      <c r="H105" s="3"/>
    </row>
    <row r="106" spans="1:10" ht="15.75" customHeight="1" x14ac:dyDescent="0.25">
      <c r="B106" s="5" t="s">
        <v>229</v>
      </c>
      <c r="D106" s="2"/>
      <c r="F106" s="3"/>
      <c r="G106" s="2"/>
      <c r="H106" s="3"/>
    </row>
    <row r="107" spans="1:10" ht="15.75" customHeight="1" x14ac:dyDescent="0.25">
      <c r="B107" s="6" t="s">
        <v>2</v>
      </c>
      <c r="D107" s="2"/>
      <c r="F107" s="3"/>
      <c r="G107" s="2"/>
      <c r="H107" s="3"/>
    </row>
    <row r="108" spans="1:10" ht="27.75" customHeight="1" x14ac:dyDescent="0.25">
      <c r="B108" s="7" t="s">
        <v>230</v>
      </c>
      <c r="D108" s="2"/>
      <c r="F108" s="3"/>
      <c r="G108" s="2"/>
      <c r="H108" s="3"/>
    </row>
    <row r="109" spans="1:10" ht="15.75" customHeight="1" x14ac:dyDescent="0.25">
      <c r="B109" s="84" t="s">
        <v>4</v>
      </c>
      <c r="C109" s="84" t="s">
        <v>5</v>
      </c>
      <c r="D109" s="11" t="s">
        <v>6</v>
      </c>
      <c r="E109" s="11" t="s">
        <v>7</v>
      </c>
      <c r="F109" s="12" t="s">
        <v>8</v>
      </c>
      <c r="G109" s="11" t="s">
        <v>9</v>
      </c>
      <c r="H109" s="85" t="s">
        <v>10</v>
      </c>
      <c r="I109" s="84" t="s">
        <v>11</v>
      </c>
      <c r="J109" s="85" t="s">
        <v>12</v>
      </c>
    </row>
    <row r="110" spans="1:10" ht="62.25" customHeight="1" x14ac:dyDescent="0.25">
      <c r="A110" s="1">
        <v>1</v>
      </c>
      <c r="B110" s="86" t="s">
        <v>231</v>
      </c>
      <c r="C110" s="87" t="s">
        <v>69</v>
      </c>
      <c r="D110" s="88">
        <v>1</v>
      </c>
      <c r="E110" s="64" t="s">
        <v>232</v>
      </c>
      <c r="F110" s="64" t="s">
        <v>233</v>
      </c>
      <c r="G110" s="89">
        <v>1</v>
      </c>
      <c r="H110" s="90" t="s">
        <v>234</v>
      </c>
      <c r="I110" s="87"/>
      <c r="J110" s="86"/>
    </row>
    <row r="111" spans="1:10" ht="47.25" x14ac:dyDescent="0.25">
      <c r="A111" s="1">
        <v>2</v>
      </c>
      <c r="B111" s="86"/>
      <c r="C111" s="87" t="s">
        <v>171</v>
      </c>
      <c r="D111" s="22"/>
      <c r="E111" s="80"/>
      <c r="F111" s="64" t="s">
        <v>235</v>
      </c>
      <c r="G111" s="74">
        <v>0.5</v>
      </c>
      <c r="H111" s="90" t="s">
        <v>234</v>
      </c>
      <c r="I111" s="87"/>
      <c r="J111" s="86"/>
    </row>
    <row r="112" spans="1:10" ht="78.75" x14ac:dyDescent="0.25">
      <c r="A112" s="1">
        <v>3</v>
      </c>
      <c r="B112" s="86" t="s">
        <v>236</v>
      </c>
      <c r="C112" s="87" t="s">
        <v>171</v>
      </c>
      <c r="D112" s="88">
        <v>2</v>
      </c>
      <c r="E112" s="64" t="s">
        <v>237</v>
      </c>
      <c r="F112" s="65" t="s">
        <v>238</v>
      </c>
      <c r="G112" s="66">
        <v>2</v>
      </c>
      <c r="H112" s="90" t="s">
        <v>239</v>
      </c>
      <c r="I112" s="87"/>
      <c r="J112" s="86"/>
    </row>
    <row r="113" spans="1:27" ht="47.25" x14ac:dyDescent="0.25">
      <c r="A113" s="1">
        <v>4</v>
      </c>
      <c r="B113" s="86"/>
      <c r="C113" s="87" t="s">
        <v>171</v>
      </c>
      <c r="D113" s="22"/>
      <c r="E113" s="67"/>
      <c r="F113" s="68" t="s">
        <v>240</v>
      </c>
      <c r="G113" s="69">
        <v>0.25</v>
      </c>
      <c r="H113" s="90" t="s">
        <v>241</v>
      </c>
      <c r="I113" s="87"/>
      <c r="J113" s="86"/>
    </row>
    <row r="114" spans="1:27" ht="47.25" x14ac:dyDescent="0.25">
      <c r="A114" s="1">
        <v>5</v>
      </c>
      <c r="B114" s="86"/>
      <c r="C114" s="87" t="s">
        <v>171</v>
      </c>
      <c r="D114" s="22"/>
      <c r="E114" s="67"/>
      <c r="F114" s="91" t="s">
        <v>242</v>
      </c>
      <c r="G114" s="69">
        <v>1</v>
      </c>
      <c r="H114" s="90" t="s">
        <v>243</v>
      </c>
      <c r="I114" s="87"/>
      <c r="J114" s="86"/>
    </row>
    <row r="115" spans="1:27" ht="54" customHeight="1" x14ac:dyDescent="0.25">
      <c r="A115" s="1">
        <v>6</v>
      </c>
      <c r="B115" s="86" t="s">
        <v>244</v>
      </c>
      <c r="C115" s="87" t="s">
        <v>80</v>
      </c>
      <c r="D115" s="88">
        <v>3</v>
      </c>
      <c r="E115" s="67" t="s">
        <v>245</v>
      </c>
      <c r="F115" s="68" t="s">
        <v>246</v>
      </c>
      <c r="G115" s="69">
        <v>0.05</v>
      </c>
      <c r="H115" s="90" t="s">
        <v>247</v>
      </c>
      <c r="I115" s="87"/>
      <c r="J115" s="86"/>
    </row>
    <row r="116" spans="1:27" ht="57" customHeight="1" x14ac:dyDescent="0.25">
      <c r="A116" s="1">
        <v>7</v>
      </c>
      <c r="B116" s="86" t="s">
        <v>248</v>
      </c>
      <c r="C116" s="87" t="s">
        <v>171</v>
      </c>
      <c r="D116" s="88">
        <v>4</v>
      </c>
      <c r="E116" s="67" t="s">
        <v>249</v>
      </c>
      <c r="F116" s="68" t="s">
        <v>250</v>
      </c>
      <c r="G116" s="69">
        <v>1</v>
      </c>
      <c r="H116" s="90" t="s">
        <v>251</v>
      </c>
      <c r="I116" s="87"/>
      <c r="J116" s="86"/>
    </row>
    <row r="117" spans="1:27" ht="89.25" customHeight="1" x14ac:dyDescent="0.25">
      <c r="A117" s="1">
        <v>8</v>
      </c>
      <c r="B117" s="86" t="s">
        <v>252</v>
      </c>
      <c r="C117" s="87" t="s">
        <v>171</v>
      </c>
      <c r="D117" s="22">
        <v>5</v>
      </c>
      <c r="E117" s="64" t="s">
        <v>253</v>
      </c>
      <c r="F117" s="92" t="s">
        <v>254</v>
      </c>
      <c r="G117" s="74">
        <v>1</v>
      </c>
      <c r="H117" s="90" t="s">
        <v>255</v>
      </c>
      <c r="I117" s="87"/>
      <c r="J117" s="86"/>
    </row>
    <row r="118" spans="1:27" ht="90.75" customHeight="1" x14ac:dyDescent="0.25">
      <c r="A118" s="1">
        <v>9</v>
      </c>
      <c r="B118" s="86" t="s">
        <v>256</v>
      </c>
      <c r="C118" s="87" t="s">
        <v>171</v>
      </c>
      <c r="D118" s="22">
        <v>6</v>
      </c>
      <c r="E118" s="64" t="s">
        <v>257</v>
      </c>
      <c r="F118" s="64" t="s">
        <v>258</v>
      </c>
      <c r="G118" s="74">
        <v>0.25</v>
      </c>
      <c r="H118" s="90" t="s">
        <v>259</v>
      </c>
      <c r="I118" s="87"/>
      <c r="J118" s="86"/>
    </row>
    <row r="119" spans="1:27" ht="83.25" customHeight="1" x14ac:dyDescent="0.25">
      <c r="A119" s="1">
        <v>10</v>
      </c>
      <c r="B119" s="86" t="s">
        <v>260</v>
      </c>
      <c r="C119" s="87" t="s">
        <v>171</v>
      </c>
      <c r="D119" s="22">
        <v>7</v>
      </c>
      <c r="E119" s="64" t="s">
        <v>261</v>
      </c>
      <c r="F119" s="64" t="s">
        <v>262</v>
      </c>
      <c r="G119" s="66">
        <v>1</v>
      </c>
      <c r="H119" s="90" t="s">
        <v>263</v>
      </c>
      <c r="I119" s="87"/>
      <c r="J119" s="86"/>
    </row>
    <row r="120" spans="1:27" ht="15.75" customHeight="1" x14ac:dyDescent="0.25">
      <c r="B120" s="25"/>
      <c r="C120" s="19"/>
      <c r="D120" s="8"/>
      <c r="E120" s="19"/>
      <c r="F120" s="25"/>
      <c r="G120" s="8"/>
      <c r="H120" s="25"/>
      <c r="I120" s="19"/>
      <c r="J120" s="25"/>
    </row>
    <row r="121" spans="1:27" ht="29.25" customHeight="1" x14ac:dyDescent="0.25">
      <c r="B121" s="7" t="s">
        <v>264</v>
      </c>
      <c r="D121" s="2"/>
      <c r="F121" s="3"/>
      <c r="G121" s="2"/>
      <c r="H121" s="3"/>
    </row>
    <row r="122" spans="1:27" ht="15.75" customHeight="1" x14ac:dyDescent="0.25">
      <c r="B122" s="84" t="s">
        <v>4</v>
      </c>
      <c r="C122" s="84" t="s">
        <v>5</v>
      </c>
      <c r="D122" s="11" t="s">
        <v>6</v>
      </c>
      <c r="E122" s="11" t="s">
        <v>7</v>
      </c>
      <c r="F122" s="12" t="s">
        <v>8</v>
      </c>
      <c r="G122" s="11" t="s">
        <v>9</v>
      </c>
      <c r="H122" s="85" t="s">
        <v>10</v>
      </c>
      <c r="I122" s="84" t="s">
        <v>11</v>
      </c>
      <c r="J122" s="85" t="s">
        <v>12</v>
      </c>
    </row>
    <row r="123" spans="1:27" ht="72.75" customHeight="1" x14ac:dyDescent="0.25">
      <c r="A123" s="1">
        <v>1</v>
      </c>
      <c r="B123" s="86" t="s">
        <v>265</v>
      </c>
      <c r="C123" s="87" t="s">
        <v>171</v>
      </c>
      <c r="D123" s="22">
        <v>1</v>
      </c>
      <c r="E123" s="23" t="s">
        <v>266</v>
      </c>
      <c r="F123" s="23" t="s">
        <v>267</v>
      </c>
      <c r="G123" s="24">
        <v>1</v>
      </c>
      <c r="H123" s="86" t="s">
        <v>268</v>
      </c>
      <c r="I123" s="87"/>
      <c r="J123" s="86"/>
    </row>
    <row r="124" spans="1:27" ht="15.75" customHeight="1" x14ac:dyDescent="0.25">
      <c r="B124" s="56"/>
      <c r="D124" s="2"/>
      <c r="F124" s="3"/>
      <c r="G124" s="2"/>
      <c r="H124" s="3"/>
    </row>
    <row r="125" spans="1:27" ht="24.75" customHeight="1" x14ac:dyDescent="0.25">
      <c r="B125" s="7" t="s">
        <v>269</v>
      </c>
      <c r="D125" s="2"/>
      <c r="F125" s="3"/>
      <c r="G125" s="2"/>
      <c r="H125" s="3"/>
    </row>
    <row r="126" spans="1:27" ht="15.75" customHeight="1" x14ac:dyDescent="0.25">
      <c r="B126" s="84" t="s">
        <v>4</v>
      </c>
      <c r="C126" s="84" t="s">
        <v>5</v>
      </c>
      <c r="D126" s="11" t="s">
        <v>6</v>
      </c>
      <c r="E126" s="11" t="s">
        <v>7</v>
      </c>
      <c r="F126" s="12" t="s">
        <v>8</v>
      </c>
      <c r="G126" s="11" t="s">
        <v>9</v>
      </c>
      <c r="H126" s="85" t="s">
        <v>10</v>
      </c>
      <c r="I126" s="84" t="s">
        <v>11</v>
      </c>
      <c r="J126" s="85" t="s">
        <v>12</v>
      </c>
    </row>
    <row r="127" spans="1:27" ht="90.75" customHeight="1" x14ac:dyDescent="0.25">
      <c r="A127" s="1">
        <v>1</v>
      </c>
      <c r="B127" s="87" t="s">
        <v>270</v>
      </c>
      <c r="C127" s="87" t="s">
        <v>171</v>
      </c>
      <c r="D127" s="22">
        <v>1</v>
      </c>
      <c r="E127" s="64" t="s">
        <v>271</v>
      </c>
      <c r="F127" s="64" t="s">
        <v>272</v>
      </c>
      <c r="G127" s="74">
        <v>0.25</v>
      </c>
      <c r="H127" s="90" t="s">
        <v>268</v>
      </c>
      <c r="I127" s="87"/>
      <c r="J127" s="86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</row>
    <row r="128" spans="1:27" ht="108.75" customHeight="1" x14ac:dyDescent="0.25">
      <c r="A128" s="1">
        <v>2</v>
      </c>
      <c r="B128" s="87" t="s">
        <v>273</v>
      </c>
      <c r="C128" s="87" t="s">
        <v>57</v>
      </c>
      <c r="D128" s="22">
        <v>2</v>
      </c>
      <c r="E128" s="64" t="s">
        <v>210</v>
      </c>
      <c r="F128" s="64" t="s">
        <v>274</v>
      </c>
      <c r="G128" s="66">
        <v>2</v>
      </c>
      <c r="H128" s="90" t="s">
        <v>275</v>
      </c>
      <c r="I128" s="87"/>
      <c r="J128" s="86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</row>
    <row r="129" spans="1:27" ht="57.75" customHeight="1" x14ac:dyDescent="0.25">
      <c r="A129" s="1">
        <v>3</v>
      </c>
      <c r="B129" s="86" t="s">
        <v>276</v>
      </c>
      <c r="C129" s="87" t="s">
        <v>171</v>
      </c>
      <c r="D129" s="22"/>
      <c r="E129" s="80"/>
      <c r="F129" s="64" t="s">
        <v>277</v>
      </c>
      <c r="G129" s="74">
        <v>0.5</v>
      </c>
      <c r="H129" s="90" t="s">
        <v>275</v>
      </c>
      <c r="I129" s="87"/>
      <c r="J129" s="86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</row>
    <row r="130" spans="1:27" ht="72.75" customHeight="1" x14ac:dyDescent="0.25">
      <c r="A130" s="1">
        <v>4</v>
      </c>
      <c r="B130" s="86" t="s">
        <v>278</v>
      </c>
      <c r="C130" s="87" t="s">
        <v>171</v>
      </c>
      <c r="D130" s="22">
        <v>3</v>
      </c>
      <c r="E130" s="64" t="s">
        <v>279</v>
      </c>
      <c r="F130" s="64" t="s">
        <v>280</v>
      </c>
      <c r="G130" s="66">
        <v>2</v>
      </c>
      <c r="H130" s="90" t="s">
        <v>281</v>
      </c>
      <c r="I130" s="87"/>
      <c r="J130" s="86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</row>
    <row r="131" spans="1:27" ht="110.25" x14ac:dyDescent="0.25">
      <c r="A131" s="1">
        <v>5</v>
      </c>
      <c r="B131" s="86" t="s">
        <v>282</v>
      </c>
      <c r="C131" s="87" t="s">
        <v>171</v>
      </c>
      <c r="D131" s="22">
        <v>4</v>
      </c>
      <c r="E131" s="64" t="s">
        <v>283</v>
      </c>
      <c r="F131" s="64" t="s">
        <v>284</v>
      </c>
      <c r="G131" s="66">
        <v>1</v>
      </c>
      <c r="H131" s="90" t="s">
        <v>285</v>
      </c>
      <c r="I131" s="87"/>
      <c r="J131" s="86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</row>
    <row r="132" spans="1:27" ht="47.25" x14ac:dyDescent="0.25">
      <c r="A132" s="1">
        <v>6</v>
      </c>
      <c r="B132" s="86" t="s">
        <v>286</v>
      </c>
      <c r="C132" s="87" t="s">
        <v>171</v>
      </c>
      <c r="D132" s="22">
        <v>5</v>
      </c>
      <c r="E132" s="64" t="s">
        <v>287</v>
      </c>
      <c r="F132" s="64" t="s">
        <v>288</v>
      </c>
      <c r="G132" s="93">
        <v>1</v>
      </c>
      <c r="H132" s="90" t="s">
        <v>289</v>
      </c>
      <c r="I132" s="87"/>
      <c r="J132" s="86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</row>
    <row r="133" spans="1:27" ht="15.75" customHeight="1" x14ac:dyDescent="0.25">
      <c r="B133" s="58">
        <f>SUM(A132,A123,A119)</f>
        <v>17</v>
      </c>
      <c r="C133" s="94" t="s">
        <v>164</v>
      </c>
      <c r="D133" s="2"/>
      <c r="F133" s="3"/>
      <c r="G133" s="2"/>
      <c r="H133" s="3"/>
    </row>
    <row r="134" spans="1:27" ht="15.75" customHeight="1" x14ac:dyDescent="0.25">
      <c r="B134" s="5" t="s">
        <v>290</v>
      </c>
      <c r="D134" s="2"/>
      <c r="F134" s="3"/>
      <c r="G134" s="2"/>
      <c r="H134" s="3"/>
    </row>
    <row r="135" spans="1:27" ht="15.75" customHeight="1" x14ac:dyDescent="0.25">
      <c r="B135" s="6" t="s">
        <v>2</v>
      </c>
      <c r="D135" s="2"/>
      <c r="F135" s="3"/>
      <c r="G135" s="2"/>
      <c r="H135" s="3"/>
    </row>
    <row r="136" spans="1:27" ht="27" customHeight="1" x14ac:dyDescent="0.25">
      <c r="B136" s="7" t="s">
        <v>291</v>
      </c>
      <c r="D136" s="2"/>
      <c r="F136" s="3"/>
      <c r="G136" s="2"/>
      <c r="H136" s="3"/>
    </row>
    <row r="137" spans="1:27" ht="15.75" customHeight="1" x14ac:dyDescent="0.25">
      <c r="B137" s="95" t="s">
        <v>4</v>
      </c>
      <c r="C137" s="95" t="s">
        <v>5</v>
      </c>
      <c r="D137" s="11" t="s">
        <v>6</v>
      </c>
      <c r="E137" s="11" t="s">
        <v>7</v>
      </c>
      <c r="F137" s="12" t="s">
        <v>8</v>
      </c>
      <c r="G137" s="11" t="s">
        <v>9</v>
      </c>
      <c r="H137" s="96" t="s">
        <v>10</v>
      </c>
      <c r="I137" s="95" t="s">
        <v>11</v>
      </c>
      <c r="J137" s="96" t="s">
        <v>12</v>
      </c>
    </row>
    <row r="138" spans="1:27" ht="71.25" customHeight="1" x14ac:dyDescent="0.25">
      <c r="A138" s="1">
        <v>1</v>
      </c>
      <c r="B138" s="97" t="s">
        <v>292</v>
      </c>
      <c r="C138" s="98" t="s">
        <v>80</v>
      </c>
      <c r="D138" s="22">
        <v>1</v>
      </c>
      <c r="E138" s="23" t="s">
        <v>293</v>
      </c>
      <c r="F138" s="23" t="s">
        <v>294</v>
      </c>
      <c r="G138" s="24">
        <v>0.9</v>
      </c>
      <c r="H138" s="97" t="s">
        <v>295</v>
      </c>
      <c r="I138" s="98"/>
      <c r="J138" s="97"/>
    </row>
    <row r="139" spans="1:27" ht="47.25" x14ac:dyDescent="0.25">
      <c r="A139" s="1">
        <v>2</v>
      </c>
      <c r="B139" s="97" t="s">
        <v>296</v>
      </c>
      <c r="C139" s="98" t="s">
        <v>80</v>
      </c>
      <c r="D139" s="22">
        <v>2</v>
      </c>
      <c r="E139" s="23" t="s">
        <v>297</v>
      </c>
      <c r="F139" s="23" t="s">
        <v>298</v>
      </c>
      <c r="G139" s="24">
        <v>1</v>
      </c>
      <c r="H139" s="97" t="s">
        <v>299</v>
      </c>
      <c r="I139" s="98"/>
      <c r="J139" s="97"/>
    </row>
    <row r="140" spans="1:27" ht="69.75" customHeight="1" x14ac:dyDescent="0.25">
      <c r="A140" s="1">
        <v>3</v>
      </c>
      <c r="B140" s="97" t="s">
        <v>300</v>
      </c>
      <c r="C140" s="98" t="s">
        <v>80</v>
      </c>
      <c r="D140" s="43">
        <v>3</v>
      </c>
      <c r="E140" s="45" t="s">
        <v>301</v>
      </c>
      <c r="F140" s="45" t="s">
        <v>302</v>
      </c>
      <c r="G140" s="99">
        <v>1</v>
      </c>
      <c r="H140" s="100" t="s">
        <v>303</v>
      </c>
      <c r="I140" s="98"/>
      <c r="J140" s="97"/>
    </row>
    <row r="141" spans="1:27" ht="60" customHeight="1" x14ac:dyDescent="0.25">
      <c r="A141" s="1">
        <v>4</v>
      </c>
      <c r="B141" s="97"/>
      <c r="C141" s="101" t="s">
        <v>69</v>
      </c>
      <c r="D141" s="102"/>
      <c r="E141" s="103"/>
      <c r="F141" s="17" t="s">
        <v>304</v>
      </c>
      <c r="G141" s="27">
        <v>1</v>
      </c>
      <c r="H141" s="100" t="s">
        <v>303</v>
      </c>
      <c r="I141" s="104"/>
      <c r="J141" s="97"/>
    </row>
    <row r="142" spans="1:27" ht="110.25" x14ac:dyDescent="0.25">
      <c r="A142" s="1">
        <v>5</v>
      </c>
      <c r="B142" s="105"/>
      <c r="C142" s="106" t="s">
        <v>305</v>
      </c>
      <c r="D142" s="16"/>
      <c r="E142" s="17"/>
      <c r="F142" s="107" t="s">
        <v>306</v>
      </c>
      <c r="G142" s="108">
        <v>0.5</v>
      </c>
      <c r="H142" s="100" t="s">
        <v>303</v>
      </c>
      <c r="I142" s="104"/>
      <c r="J142" s="109" t="s">
        <v>307</v>
      </c>
    </row>
    <row r="143" spans="1:27" ht="67.5" customHeight="1" x14ac:dyDescent="0.25">
      <c r="A143" s="1">
        <v>6</v>
      </c>
      <c r="B143" s="97" t="s">
        <v>308</v>
      </c>
      <c r="C143" s="110" t="s">
        <v>14</v>
      </c>
      <c r="D143" s="111"/>
      <c r="E143" s="107" t="s">
        <v>309</v>
      </c>
      <c r="F143" s="107" t="s">
        <v>310</v>
      </c>
      <c r="G143" s="108">
        <v>0.8</v>
      </c>
      <c r="H143" s="100" t="s">
        <v>311</v>
      </c>
      <c r="I143" s="104"/>
      <c r="J143" s="97" t="s">
        <v>312</v>
      </c>
    </row>
    <row r="144" spans="1:27" ht="15.75" customHeight="1" x14ac:dyDescent="0.25">
      <c r="B144" s="25"/>
      <c r="C144" s="19"/>
      <c r="D144" s="8"/>
      <c r="E144" s="19"/>
      <c r="F144" s="25"/>
      <c r="G144" s="8"/>
      <c r="H144" s="25"/>
      <c r="I144" s="19"/>
      <c r="J144" s="25"/>
    </row>
    <row r="145" spans="1:10" ht="24.75" customHeight="1" x14ac:dyDescent="0.25">
      <c r="B145" s="7" t="s">
        <v>313</v>
      </c>
      <c r="D145" s="2"/>
      <c r="F145" s="3"/>
      <c r="G145" s="2"/>
      <c r="H145" s="3"/>
    </row>
    <row r="146" spans="1:10" ht="15.75" customHeight="1" x14ac:dyDescent="0.25">
      <c r="B146" s="95" t="s">
        <v>4</v>
      </c>
      <c r="C146" s="95" t="s">
        <v>5</v>
      </c>
      <c r="D146" s="11" t="s">
        <v>6</v>
      </c>
      <c r="E146" s="11" t="s">
        <v>7</v>
      </c>
      <c r="F146" s="12" t="s">
        <v>8</v>
      </c>
      <c r="G146" s="11" t="s">
        <v>9</v>
      </c>
      <c r="H146" s="96" t="s">
        <v>10</v>
      </c>
      <c r="I146" s="95" t="s">
        <v>11</v>
      </c>
      <c r="J146" s="96" t="s">
        <v>12</v>
      </c>
    </row>
    <row r="147" spans="1:10" ht="88.5" customHeight="1" x14ac:dyDescent="0.25">
      <c r="A147" s="1">
        <v>1</v>
      </c>
      <c r="B147" s="97" t="s">
        <v>314</v>
      </c>
      <c r="C147" s="98" t="s">
        <v>31</v>
      </c>
      <c r="D147" s="22">
        <v>1</v>
      </c>
      <c r="E147" s="23" t="s">
        <v>315</v>
      </c>
      <c r="F147" s="23" t="s">
        <v>316</v>
      </c>
      <c r="G147" s="24">
        <v>0.75</v>
      </c>
      <c r="H147" s="97" t="s">
        <v>317</v>
      </c>
      <c r="I147" s="98"/>
      <c r="J147" s="97"/>
    </row>
    <row r="148" spans="1:10" ht="63" x14ac:dyDescent="0.25">
      <c r="A148" s="1">
        <v>2</v>
      </c>
      <c r="B148" s="97" t="s">
        <v>318</v>
      </c>
      <c r="C148" s="98" t="s">
        <v>31</v>
      </c>
      <c r="D148" s="22"/>
      <c r="E148" s="23"/>
      <c r="F148" s="23" t="s">
        <v>319</v>
      </c>
      <c r="G148" s="24">
        <v>0.75</v>
      </c>
      <c r="H148" s="97" t="s">
        <v>317</v>
      </c>
      <c r="I148" s="98"/>
      <c r="J148" s="97"/>
    </row>
    <row r="149" spans="1:10" ht="67.5" customHeight="1" x14ac:dyDescent="0.25">
      <c r="A149" s="1">
        <v>3</v>
      </c>
      <c r="B149" s="97" t="s">
        <v>320</v>
      </c>
      <c r="C149" s="98" t="s">
        <v>31</v>
      </c>
      <c r="D149" s="22"/>
      <c r="E149" s="26"/>
      <c r="F149" s="23" t="s">
        <v>321</v>
      </c>
      <c r="G149" s="24">
        <v>0.75</v>
      </c>
      <c r="H149" s="97" t="s">
        <v>317</v>
      </c>
      <c r="I149" s="98"/>
      <c r="J149" s="97"/>
    </row>
    <row r="150" spans="1:10" ht="87.75" customHeight="1" x14ac:dyDescent="0.25">
      <c r="A150" s="1">
        <v>4</v>
      </c>
      <c r="B150" s="97" t="s">
        <v>322</v>
      </c>
      <c r="C150" s="98" t="s">
        <v>31</v>
      </c>
      <c r="D150" s="22"/>
      <c r="E150" s="26"/>
      <c r="F150" s="23" t="s">
        <v>323</v>
      </c>
      <c r="G150" s="24">
        <v>1</v>
      </c>
      <c r="H150" s="97" t="s">
        <v>317</v>
      </c>
      <c r="I150" s="98"/>
      <c r="J150" s="97"/>
    </row>
    <row r="151" spans="1:10" ht="15.75" customHeight="1" x14ac:dyDescent="0.25">
      <c r="B151" s="112">
        <f>SUM(A150,A143)</f>
        <v>10</v>
      </c>
      <c r="C151" s="29" t="s">
        <v>164</v>
      </c>
      <c r="D151" s="8"/>
      <c r="E151" s="19"/>
      <c r="F151" s="25"/>
      <c r="G151" s="8"/>
      <c r="H151" s="25"/>
      <c r="I151" s="19"/>
      <c r="J151" s="25"/>
    </row>
    <row r="152" spans="1:10" ht="15.75" customHeight="1" x14ac:dyDescent="0.25">
      <c r="B152" s="5" t="s">
        <v>324</v>
      </c>
      <c r="D152" s="2"/>
      <c r="F152" s="3"/>
      <c r="G152" s="2"/>
      <c r="H152" s="3"/>
    </row>
    <row r="153" spans="1:10" ht="15.75" customHeight="1" x14ac:dyDescent="0.25">
      <c r="B153" s="6" t="s">
        <v>2</v>
      </c>
      <c r="D153" s="2"/>
      <c r="F153" s="3"/>
      <c r="G153" s="2"/>
      <c r="H153" s="3"/>
    </row>
    <row r="154" spans="1:10" ht="44.25" customHeight="1" x14ac:dyDescent="0.25">
      <c r="B154" s="124" t="s">
        <v>325</v>
      </c>
      <c r="C154" s="125"/>
      <c r="D154" s="125"/>
      <c r="E154" s="125"/>
      <c r="F154" s="125"/>
      <c r="G154" s="125"/>
      <c r="H154" s="125"/>
      <c r="I154" s="125"/>
      <c r="J154" s="125"/>
    </row>
    <row r="155" spans="1:10" ht="15.75" customHeight="1" x14ac:dyDescent="0.25">
      <c r="B155" s="113" t="s">
        <v>4</v>
      </c>
      <c r="C155" s="113" t="s">
        <v>5</v>
      </c>
      <c r="D155" s="11" t="s">
        <v>6</v>
      </c>
      <c r="E155" s="11" t="s">
        <v>7</v>
      </c>
      <c r="F155" s="12" t="s">
        <v>8</v>
      </c>
      <c r="G155" s="11" t="s">
        <v>9</v>
      </c>
      <c r="H155" s="114" t="s">
        <v>10</v>
      </c>
      <c r="I155" s="113" t="s">
        <v>11</v>
      </c>
      <c r="J155" s="114" t="s">
        <v>12</v>
      </c>
    </row>
    <row r="156" spans="1:10" ht="63" x14ac:dyDescent="0.25">
      <c r="A156" s="1">
        <v>1</v>
      </c>
      <c r="B156" s="115" t="s">
        <v>326</v>
      </c>
      <c r="C156" s="116" t="s">
        <v>327</v>
      </c>
      <c r="D156" s="22">
        <v>1</v>
      </c>
      <c r="E156" s="23" t="s">
        <v>328</v>
      </c>
      <c r="F156" s="23" t="s">
        <v>329</v>
      </c>
      <c r="G156" s="24">
        <v>1</v>
      </c>
      <c r="H156" s="115" t="s">
        <v>330</v>
      </c>
      <c r="I156" s="116"/>
      <c r="J156" s="115"/>
    </row>
    <row r="157" spans="1:10" ht="63" x14ac:dyDescent="0.25">
      <c r="A157" s="1">
        <v>2</v>
      </c>
      <c r="B157" s="115" t="s">
        <v>331</v>
      </c>
      <c r="C157" s="116" t="s">
        <v>327</v>
      </c>
      <c r="D157" s="22">
        <v>2</v>
      </c>
      <c r="E157" s="23" t="s">
        <v>332</v>
      </c>
      <c r="F157" s="23" t="s">
        <v>333</v>
      </c>
      <c r="G157" s="22">
        <v>3</v>
      </c>
      <c r="H157" s="115" t="s">
        <v>334</v>
      </c>
      <c r="I157" s="116"/>
      <c r="J157" s="115"/>
    </row>
    <row r="158" spans="1:10" ht="31.5" x14ac:dyDescent="0.25">
      <c r="A158" s="1">
        <v>3</v>
      </c>
      <c r="B158" s="115"/>
      <c r="C158" s="116" t="s">
        <v>327</v>
      </c>
      <c r="D158" s="22"/>
      <c r="E158" s="26"/>
      <c r="F158" s="23" t="s">
        <v>335</v>
      </c>
      <c r="G158" s="22" t="s">
        <v>336</v>
      </c>
      <c r="H158" s="115" t="s">
        <v>334</v>
      </c>
      <c r="I158" s="116"/>
      <c r="J158" s="115"/>
    </row>
    <row r="159" spans="1:10" ht="15.75" customHeight="1" x14ac:dyDescent="0.25">
      <c r="B159" s="117">
        <f>SUM(A158)</f>
        <v>3</v>
      </c>
      <c r="C159" s="118" t="s">
        <v>38</v>
      </c>
      <c r="D159" s="2"/>
      <c r="F159" s="3"/>
      <c r="G159" s="2"/>
      <c r="H159" s="3"/>
    </row>
    <row r="160" spans="1:10" ht="15.75" customHeight="1" x14ac:dyDescent="0.25">
      <c r="D160" s="2"/>
      <c r="F160" s="3"/>
      <c r="G160" s="2"/>
      <c r="H160" s="3"/>
    </row>
    <row r="161" spans="1:8" ht="31.15" customHeight="1" x14ac:dyDescent="0.25">
      <c r="A161" s="119"/>
      <c r="B161" s="120" t="s">
        <v>337</v>
      </c>
      <c r="C161" s="121">
        <f>SUM(B159,B151,B133,B105,B76,B17)</f>
        <v>99</v>
      </c>
      <c r="D161" s="2"/>
      <c r="F161" s="3"/>
      <c r="G161" s="2"/>
      <c r="H161" s="3"/>
    </row>
    <row r="162" spans="1:8" ht="15.75" customHeight="1" x14ac:dyDescent="0.25">
      <c r="D162" s="2"/>
      <c r="F162" s="3"/>
      <c r="G162" s="2"/>
      <c r="H162" s="3"/>
    </row>
    <row r="163" spans="1:8" ht="15.75" customHeight="1" x14ac:dyDescent="0.25">
      <c r="D163" s="2"/>
      <c r="F163" s="3"/>
      <c r="G163" s="2"/>
      <c r="H163" s="3"/>
    </row>
    <row r="164" spans="1:8" ht="15.75" customHeight="1" x14ac:dyDescent="0.25">
      <c r="D164" s="2"/>
      <c r="F164" s="3"/>
      <c r="G164" s="2"/>
      <c r="H164" s="3"/>
    </row>
    <row r="165" spans="1:8" ht="15.75" customHeight="1" x14ac:dyDescent="0.25">
      <c r="D165" s="2"/>
      <c r="F165" s="3"/>
      <c r="G165" s="2"/>
      <c r="H165" s="3"/>
    </row>
    <row r="166" spans="1:8" ht="15.75" customHeight="1" x14ac:dyDescent="0.25">
      <c r="D166" s="2"/>
      <c r="F166" s="3"/>
      <c r="G166" s="2"/>
      <c r="H166" s="3"/>
    </row>
    <row r="167" spans="1:8" ht="15.75" customHeight="1" x14ac:dyDescent="0.25">
      <c r="D167" s="2"/>
      <c r="F167" s="3"/>
      <c r="G167" s="2"/>
      <c r="H167" s="3"/>
    </row>
    <row r="168" spans="1:8" ht="15.75" customHeight="1" x14ac:dyDescent="0.25">
      <c r="D168" s="2"/>
      <c r="F168" s="3"/>
      <c r="G168" s="2"/>
      <c r="H168" s="3"/>
    </row>
    <row r="169" spans="1:8" ht="15.75" customHeight="1" x14ac:dyDescent="0.25">
      <c r="D169" s="2"/>
      <c r="F169" s="3"/>
      <c r="G169" s="2"/>
      <c r="H169" s="3"/>
    </row>
    <row r="170" spans="1:8" ht="15.75" customHeight="1" x14ac:dyDescent="0.25">
      <c r="D170" s="2"/>
      <c r="F170" s="3"/>
      <c r="G170" s="2"/>
      <c r="H170" s="3"/>
    </row>
    <row r="171" spans="1:8" ht="15.75" customHeight="1" x14ac:dyDescent="0.25">
      <c r="D171" s="2"/>
      <c r="F171" s="3"/>
      <c r="G171" s="2"/>
      <c r="H171" s="3"/>
    </row>
    <row r="172" spans="1:8" ht="15.75" customHeight="1" x14ac:dyDescent="0.25">
      <c r="D172" s="2"/>
      <c r="F172" s="3"/>
      <c r="G172" s="2"/>
      <c r="H172" s="3"/>
    </row>
    <row r="173" spans="1:8" ht="15.75" customHeight="1" x14ac:dyDescent="0.25">
      <c r="D173" s="2"/>
      <c r="F173" s="3"/>
      <c r="G173" s="2"/>
      <c r="H173" s="3"/>
    </row>
    <row r="174" spans="1:8" ht="15.75" customHeight="1" x14ac:dyDescent="0.25">
      <c r="D174" s="2"/>
      <c r="F174" s="3"/>
      <c r="G174" s="2"/>
      <c r="H174" s="3"/>
    </row>
    <row r="175" spans="1:8" ht="15.75" customHeight="1" x14ac:dyDescent="0.25">
      <c r="D175" s="2"/>
      <c r="F175" s="3"/>
      <c r="G175" s="2"/>
      <c r="H175" s="3"/>
    </row>
    <row r="176" spans="1:8" ht="15.75" customHeight="1" x14ac:dyDescent="0.25">
      <c r="D176" s="2"/>
      <c r="F176" s="3"/>
      <c r="G176" s="2"/>
      <c r="H176" s="3"/>
    </row>
    <row r="177" spans="4:8" ht="15.75" customHeight="1" x14ac:dyDescent="0.25">
      <c r="D177" s="2"/>
      <c r="F177" s="3"/>
      <c r="G177" s="2"/>
      <c r="H177" s="3"/>
    </row>
    <row r="178" spans="4:8" ht="15.75" customHeight="1" x14ac:dyDescent="0.25">
      <c r="D178" s="2"/>
      <c r="F178" s="3"/>
      <c r="G178" s="2"/>
      <c r="H178" s="3"/>
    </row>
    <row r="179" spans="4:8" ht="15.75" customHeight="1" x14ac:dyDescent="0.25">
      <c r="D179" s="2"/>
      <c r="F179" s="3"/>
      <c r="G179" s="2"/>
      <c r="H179" s="3"/>
    </row>
    <row r="180" spans="4:8" ht="15.75" customHeight="1" x14ac:dyDescent="0.25">
      <c r="D180" s="2"/>
      <c r="F180" s="3"/>
      <c r="G180" s="2"/>
      <c r="H180" s="3"/>
    </row>
    <row r="181" spans="4:8" ht="15.75" customHeight="1" x14ac:dyDescent="0.25">
      <c r="D181" s="2"/>
      <c r="F181" s="3"/>
      <c r="G181" s="2"/>
      <c r="H181" s="3"/>
    </row>
    <row r="182" spans="4:8" ht="15.75" customHeight="1" x14ac:dyDescent="0.25">
      <c r="D182" s="2"/>
      <c r="F182" s="3"/>
      <c r="G182" s="2"/>
      <c r="H182" s="3"/>
    </row>
    <row r="183" spans="4:8" ht="15.75" customHeight="1" x14ac:dyDescent="0.25">
      <c r="D183" s="2"/>
      <c r="F183" s="3"/>
      <c r="G183" s="2"/>
      <c r="H183" s="3"/>
    </row>
    <row r="184" spans="4:8" ht="15.75" customHeight="1" x14ac:dyDescent="0.25">
      <c r="D184" s="2"/>
      <c r="F184" s="3"/>
      <c r="G184" s="2"/>
      <c r="H184" s="3"/>
    </row>
    <row r="185" spans="4:8" ht="15.75" customHeight="1" x14ac:dyDescent="0.25">
      <c r="D185" s="2"/>
      <c r="F185" s="3"/>
      <c r="G185" s="2"/>
      <c r="H185" s="3"/>
    </row>
    <row r="186" spans="4:8" ht="15.75" customHeight="1" x14ac:dyDescent="0.25">
      <c r="D186" s="2"/>
      <c r="F186" s="3"/>
      <c r="G186" s="2"/>
      <c r="H186" s="3"/>
    </row>
    <row r="187" spans="4:8" ht="15.75" customHeight="1" x14ac:dyDescent="0.25">
      <c r="D187" s="2"/>
      <c r="F187" s="3"/>
      <c r="G187" s="2"/>
      <c r="H187" s="3"/>
    </row>
    <row r="188" spans="4:8" ht="15.75" customHeight="1" x14ac:dyDescent="0.25">
      <c r="D188" s="2"/>
      <c r="F188" s="3"/>
      <c r="G188" s="2"/>
      <c r="H188" s="3"/>
    </row>
    <row r="189" spans="4:8" ht="15.75" customHeight="1" x14ac:dyDescent="0.25">
      <c r="D189" s="2"/>
      <c r="F189" s="3"/>
      <c r="G189" s="2"/>
      <c r="H189" s="3"/>
    </row>
    <row r="190" spans="4:8" ht="15.75" customHeight="1" x14ac:dyDescent="0.25">
      <c r="D190" s="2"/>
      <c r="F190" s="3"/>
      <c r="G190" s="2"/>
      <c r="H190" s="3"/>
    </row>
    <row r="191" spans="4:8" ht="15.75" customHeight="1" x14ac:dyDescent="0.25">
      <c r="D191" s="2"/>
      <c r="F191" s="3"/>
      <c r="G191" s="2"/>
      <c r="H191" s="3"/>
    </row>
    <row r="192" spans="4:8" ht="15.75" customHeight="1" x14ac:dyDescent="0.25">
      <c r="D192" s="2"/>
      <c r="F192" s="3"/>
      <c r="G192" s="2"/>
      <c r="H192" s="3"/>
    </row>
    <row r="193" spans="4:8" ht="15.75" customHeight="1" x14ac:dyDescent="0.25">
      <c r="D193" s="2"/>
      <c r="F193" s="3"/>
      <c r="G193" s="2"/>
      <c r="H193" s="3"/>
    </row>
    <row r="194" spans="4:8" ht="15.75" customHeight="1" x14ac:dyDescent="0.25">
      <c r="D194" s="2"/>
      <c r="F194" s="3"/>
      <c r="G194" s="2"/>
      <c r="H194" s="3"/>
    </row>
    <row r="195" spans="4:8" ht="15.75" customHeight="1" x14ac:dyDescent="0.25">
      <c r="D195" s="2"/>
      <c r="F195" s="3"/>
      <c r="G195" s="2"/>
      <c r="H195" s="3"/>
    </row>
    <row r="196" spans="4:8" ht="15.75" customHeight="1" x14ac:dyDescent="0.25">
      <c r="D196" s="2"/>
      <c r="F196" s="3"/>
      <c r="G196" s="2"/>
      <c r="H196" s="3"/>
    </row>
    <row r="197" spans="4:8" ht="15.75" customHeight="1" x14ac:dyDescent="0.25">
      <c r="D197" s="2"/>
      <c r="F197" s="3"/>
      <c r="G197" s="2"/>
      <c r="H197" s="3"/>
    </row>
    <row r="198" spans="4:8" ht="15.75" customHeight="1" x14ac:dyDescent="0.25">
      <c r="D198" s="2"/>
      <c r="F198" s="3"/>
      <c r="G198" s="2"/>
      <c r="H198" s="3"/>
    </row>
    <row r="199" spans="4:8" ht="15.75" customHeight="1" x14ac:dyDescent="0.25">
      <c r="D199" s="2"/>
      <c r="F199" s="3"/>
      <c r="G199" s="2"/>
      <c r="H199" s="3"/>
    </row>
    <row r="200" spans="4:8" ht="15.75" customHeight="1" x14ac:dyDescent="0.25">
      <c r="D200" s="2"/>
      <c r="F200" s="3"/>
      <c r="G200" s="2"/>
      <c r="H200" s="3"/>
    </row>
    <row r="201" spans="4:8" ht="15.75" customHeight="1" x14ac:dyDescent="0.25">
      <c r="D201" s="2"/>
      <c r="F201" s="3"/>
      <c r="G201" s="2"/>
      <c r="H201" s="3"/>
    </row>
    <row r="202" spans="4:8" ht="15.75" customHeight="1" x14ac:dyDescent="0.25">
      <c r="D202" s="2"/>
      <c r="F202" s="3"/>
      <c r="G202" s="2"/>
      <c r="H202" s="3"/>
    </row>
    <row r="203" spans="4:8" ht="15.75" customHeight="1" x14ac:dyDescent="0.25">
      <c r="D203" s="2"/>
      <c r="F203" s="3"/>
      <c r="G203" s="2"/>
      <c r="H203" s="3"/>
    </row>
    <row r="204" spans="4:8" ht="15.75" customHeight="1" x14ac:dyDescent="0.25">
      <c r="D204" s="2"/>
      <c r="F204" s="3"/>
      <c r="G204" s="2"/>
      <c r="H204" s="3"/>
    </row>
    <row r="205" spans="4:8" ht="15.75" customHeight="1" x14ac:dyDescent="0.25">
      <c r="D205" s="2"/>
      <c r="F205" s="3"/>
      <c r="G205" s="2"/>
      <c r="H205" s="3"/>
    </row>
    <row r="206" spans="4:8" ht="15.75" customHeight="1" x14ac:dyDescent="0.25">
      <c r="D206" s="2"/>
      <c r="F206" s="3"/>
      <c r="G206" s="2"/>
      <c r="H206" s="3"/>
    </row>
    <row r="207" spans="4:8" ht="15.75" customHeight="1" x14ac:dyDescent="0.25">
      <c r="D207" s="2"/>
      <c r="F207" s="3"/>
      <c r="G207" s="2"/>
      <c r="H207" s="3"/>
    </row>
    <row r="208" spans="4:8" ht="15.75" customHeight="1" x14ac:dyDescent="0.25">
      <c r="D208" s="2"/>
      <c r="F208" s="3"/>
      <c r="G208" s="2"/>
      <c r="H208" s="3"/>
    </row>
    <row r="209" spans="4:8" ht="15.75" customHeight="1" x14ac:dyDescent="0.25">
      <c r="D209" s="2"/>
      <c r="F209" s="3"/>
      <c r="G209" s="2"/>
      <c r="H209" s="3"/>
    </row>
    <row r="210" spans="4:8" ht="15.75" customHeight="1" x14ac:dyDescent="0.25">
      <c r="D210" s="2"/>
      <c r="F210" s="3"/>
      <c r="G210" s="2"/>
      <c r="H210" s="3"/>
    </row>
    <row r="211" spans="4:8" ht="15.75" customHeight="1" x14ac:dyDescent="0.25">
      <c r="D211" s="2"/>
      <c r="F211" s="3"/>
      <c r="G211" s="2"/>
      <c r="H211" s="3"/>
    </row>
    <row r="212" spans="4:8" ht="15.75" customHeight="1" x14ac:dyDescent="0.25">
      <c r="D212" s="2"/>
      <c r="F212" s="3"/>
      <c r="G212" s="2"/>
      <c r="H212" s="3"/>
    </row>
    <row r="213" spans="4:8" ht="15.75" customHeight="1" x14ac:dyDescent="0.25">
      <c r="D213" s="2"/>
      <c r="F213" s="3"/>
      <c r="G213" s="2"/>
      <c r="H213" s="3"/>
    </row>
    <row r="214" spans="4:8" ht="15.75" customHeight="1" x14ac:dyDescent="0.25">
      <c r="D214" s="2"/>
      <c r="F214" s="3"/>
      <c r="G214" s="2"/>
      <c r="H214" s="3"/>
    </row>
    <row r="215" spans="4:8" ht="15.75" customHeight="1" x14ac:dyDescent="0.25">
      <c r="D215" s="2"/>
      <c r="F215" s="3"/>
      <c r="G215" s="2"/>
      <c r="H215" s="3"/>
    </row>
    <row r="216" spans="4:8" ht="15.75" customHeight="1" x14ac:dyDescent="0.25">
      <c r="D216" s="2"/>
      <c r="F216" s="3"/>
      <c r="G216" s="2"/>
      <c r="H216" s="3"/>
    </row>
    <row r="217" spans="4:8" ht="15.75" customHeight="1" x14ac:dyDescent="0.25">
      <c r="D217" s="2"/>
      <c r="F217" s="3"/>
      <c r="G217" s="2"/>
      <c r="H217" s="3"/>
    </row>
    <row r="218" spans="4:8" ht="15.75" customHeight="1" x14ac:dyDescent="0.25">
      <c r="D218" s="2"/>
      <c r="F218" s="3"/>
      <c r="G218" s="2"/>
      <c r="H218" s="3"/>
    </row>
    <row r="219" spans="4:8" ht="15.75" customHeight="1" x14ac:dyDescent="0.25">
      <c r="D219" s="2"/>
      <c r="F219" s="3"/>
      <c r="G219" s="2"/>
      <c r="H219" s="3"/>
    </row>
    <row r="220" spans="4:8" ht="15.75" customHeight="1" x14ac:dyDescent="0.25">
      <c r="D220" s="2"/>
      <c r="F220" s="3"/>
      <c r="G220" s="2"/>
      <c r="H220" s="3"/>
    </row>
    <row r="221" spans="4:8" ht="15.75" customHeight="1" x14ac:dyDescent="0.25">
      <c r="D221" s="2"/>
      <c r="F221" s="3"/>
      <c r="G221" s="2"/>
      <c r="H221" s="3"/>
    </row>
    <row r="222" spans="4:8" ht="15.75" customHeight="1" x14ac:dyDescent="0.25">
      <c r="D222" s="2"/>
      <c r="F222" s="3"/>
      <c r="G222" s="2"/>
      <c r="H222" s="3"/>
    </row>
    <row r="223" spans="4:8" ht="15.75" customHeight="1" x14ac:dyDescent="0.25">
      <c r="D223" s="2"/>
      <c r="F223" s="3"/>
      <c r="G223" s="2"/>
      <c r="H223" s="3"/>
    </row>
    <row r="224" spans="4:8" ht="15.75" customHeight="1" x14ac:dyDescent="0.25">
      <c r="D224" s="2"/>
      <c r="F224" s="3"/>
      <c r="G224" s="2"/>
      <c r="H224" s="3"/>
    </row>
    <row r="225" spans="4:8" ht="15.75" customHeight="1" x14ac:dyDescent="0.25">
      <c r="D225" s="2"/>
      <c r="F225" s="3"/>
      <c r="G225" s="2"/>
      <c r="H225" s="3"/>
    </row>
    <row r="226" spans="4:8" ht="15.75" customHeight="1" x14ac:dyDescent="0.25">
      <c r="D226" s="2"/>
      <c r="F226" s="3"/>
      <c r="G226" s="2"/>
      <c r="H226" s="3"/>
    </row>
    <row r="227" spans="4:8" ht="15.75" customHeight="1" x14ac:dyDescent="0.25">
      <c r="D227" s="2"/>
      <c r="F227" s="3"/>
      <c r="G227" s="2"/>
      <c r="H227" s="3"/>
    </row>
    <row r="228" spans="4:8" ht="15.75" customHeight="1" x14ac:dyDescent="0.25">
      <c r="D228" s="2"/>
      <c r="F228" s="3"/>
      <c r="G228" s="2"/>
      <c r="H228" s="3"/>
    </row>
    <row r="229" spans="4:8" ht="15.75" customHeight="1" x14ac:dyDescent="0.25">
      <c r="D229" s="2"/>
      <c r="F229" s="3"/>
      <c r="G229" s="2"/>
      <c r="H229" s="3"/>
    </row>
    <row r="230" spans="4:8" ht="15.75" customHeight="1" x14ac:dyDescent="0.25">
      <c r="D230" s="2"/>
      <c r="F230" s="3"/>
      <c r="G230" s="2"/>
      <c r="H230" s="3"/>
    </row>
    <row r="231" spans="4:8" ht="15.75" customHeight="1" x14ac:dyDescent="0.25">
      <c r="D231" s="2"/>
      <c r="F231" s="3"/>
      <c r="G231" s="2"/>
      <c r="H231" s="3"/>
    </row>
    <row r="232" spans="4:8" ht="15.75" customHeight="1" x14ac:dyDescent="0.25">
      <c r="D232" s="2"/>
      <c r="F232" s="3"/>
      <c r="G232" s="2"/>
      <c r="H232" s="3"/>
    </row>
    <row r="233" spans="4:8" ht="15.75" customHeight="1" x14ac:dyDescent="0.25">
      <c r="D233" s="2"/>
      <c r="F233" s="3"/>
      <c r="G233" s="2"/>
      <c r="H233" s="3"/>
    </row>
    <row r="234" spans="4:8" ht="15.75" customHeight="1" x14ac:dyDescent="0.25">
      <c r="D234" s="2"/>
      <c r="F234" s="3"/>
      <c r="G234" s="2"/>
      <c r="H234" s="3"/>
    </row>
    <row r="235" spans="4:8" ht="15.75" customHeight="1" x14ac:dyDescent="0.25">
      <c r="D235" s="2"/>
      <c r="F235" s="3"/>
      <c r="G235" s="2"/>
      <c r="H235" s="3"/>
    </row>
    <row r="236" spans="4:8" ht="15.75" customHeight="1" x14ac:dyDescent="0.25">
      <c r="D236" s="2"/>
      <c r="F236" s="3"/>
      <c r="G236" s="2"/>
      <c r="H236" s="3"/>
    </row>
    <row r="237" spans="4:8" ht="15.75" customHeight="1" x14ac:dyDescent="0.25">
      <c r="D237" s="2"/>
      <c r="F237" s="3"/>
      <c r="G237" s="2"/>
      <c r="H237" s="3"/>
    </row>
    <row r="238" spans="4:8" ht="15.75" customHeight="1" x14ac:dyDescent="0.25">
      <c r="D238" s="2"/>
      <c r="F238" s="3"/>
      <c r="G238" s="2"/>
      <c r="H238" s="3"/>
    </row>
    <row r="239" spans="4:8" ht="15.75" customHeight="1" x14ac:dyDescent="0.25">
      <c r="D239" s="2"/>
      <c r="F239" s="3"/>
      <c r="G239" s="2"/>
      <c r="H239" s="3"/>
    </row>
    <row r="240" spans="4:8" ht="15.75" customHeight="1" x14ac:dyDescent="0.25">
      <c r="D240" s="2"/>
      <c r="F240" s="3"/>
      <c r="G240" s="2"/>
      <c r="H240" s="3"/>
    </row>
    <row r="241" spans="4:8" ht="15.75" customHeight="1" x14ac:dyDescent="0.25">
      <c r="D241" s="2"/>
      <c r="F241" s="3"/>
      <c r="G241" s="2"/>
      <c r="H241" s="3"/>
    </row>
    <row r="242" spans="4:8" ht="15.75" customHeight="1" x14ac:dyDescent="0.25">
      <c r="D242" s="2"/>
      <c r="F242" s="3"/>
      <c r="G242" s="2"/>
      <c r="H242" s="3"/>
    </row>
    <row r="243" spans="4:8" ht="15.75" customHeight="1" x14ac:dyDescent="0.25">
      <c r="D243" s="2"/>
      <c r="F243" s="3"/>
      <c r="G243" s="2"/>
      <c r="H243" s="3"/>
    </row>
    <row r="244" spans="4:8" ht="15.75" customHeight="1" x14ac:dyDescent="0.25">
      <c r="D244" s="2"/>
      <c r="F244" s="3"/>
      <c r="G244" s="2"/>
      <c r="H244" s="3"/>
    </row>
    <row r="245" spans="4:8" ht="15.75" customHeight="1" x14ac:dyDescent="0.25">
      <c r="D245" s="2"/>
      <c r="F245" s="3"/>
      <c r="G245" s="2"/>
      <c r="H245" s="3"/>
    </row>
    <row r="246" spans="4:8" ht="15.75" customHeight="1" x14ac:dyDescent="0.25">
      <c r="D246" s="2"/>
      <c r="F246" s="3"/>
      <c r="G246" s="2"/>
      <c r="H246" s="3"/>
    </row>
    <row r="247" spans="4:8" ht="15.75" customHeight="1" x14ac:dyDescent="0.25">
      <c r="D247" s="2"/>
      <c r="F247" s="3"/>
      <c r="G247" s="2"/>
      <c r="H247" s="3"/>
    </row>
    <row r="248" spans="4:8" ht="15.75" customHeight="1" x14ac:dyDescent="0.25">
      <c r="D248" s="2"/>
      <c r="F248" s="3"/>
      <c r="G248" s="2"/>
      <c r="H248" s="3"/>
    </row>
    <row r="249" spans="4:8" ht="15.75" customHeight="1" x14ac:dyDescent="0.25">
      <c r="D249" s="2"/>
      <c r="F249" s="3"/>
      <c r="G249" s="2"/>
      <c r="H249" s="3"/>
    </row>
    <row r="250" spans="4:8" ht="15.75" customHeight="1" x14ac:dyDescent="0.25">
      <c r="D250" s="2"/>
      <c r="F250" s="3"/>
      <c r="G250" s="2"/>
      <c r="H250" s="3"/>
    </row>
    <row r="251" spans="4:8" ht="15.75" customHeight="1" x14ac:dyDescent="0.25">
      <c r="D251" s="2"/>
      <c r="F251" s="3"/>
      <c r="G251" s="2"/>
      <c r="H251" s="3"/>
    </row>
    <row r="252" spans="4:8" ht="15.75" customHeight="1" x14ac:dyDescent="0.25">
      <c r="D252" s="2"/>
      <c r="F252" s="3"/>
      <c r="G252" s="2"/>
      <c r="H252" s="3"/>
    </row>
    <row r="253" spans="4:8" ht="15.75" customHeight="1" x14ac:dyDescent="0.25">
      <c r="D253" s="2"/>
      <c r="F253" s="3"/>
      <c r="G253" s="2"/>
      <c r="H253" s="3"/>
    </row>
    <row r="254" spans="4:8" ht="15.75" customHeight="1" x14ac:dyDescent="0.25">
      <c r="D254" s="2"/>
      <c r="F254" s="3"/>
      <c r="G254" s="2"/>
      <c r="H254" s="3"/>
    </row>
    <row r="255" spans="4:8" ht="15.75" customHeight="1" x14ac:dyDescent="0.25">
      <c r="D255" s="2"/>
      <c r="F255" s="3"/>
      <c r="G255" s="2"/>
      <c r="H255" s="3"/>
    </row>
    <row r="256" spans="4:8" ht="15.75" customHeight="1" x14ac:dyDescent="0.25">
      <c r="D256" s="2"/>
      <c r="F256" s="3"/>
      <c r="G256" s="2"/>
      <c r="H256" s="3"/>
    </row>
    <row r="257" spans="4:8" ht="15.75" customHeight="1" x14ac:dyDescent="0.25">
      <c r="D257" s="2"/>
      <c r="F257" s="3"/>
      <c r="G257" s="2"/>
      <c r="H257" s="3"/>
    </row>
    <row r="258" spans="4:8" ht="15.75" customHeight="1" x14ac:dyDescent="0.25">
      <c r="D258" s="2"/>
      <c r="F258" s="3"/>
      <c r="G258" s="2"/>
      <c r="H258" s="3"/>
    </row>
    <row r="259" spans="4:8" ht="15.75" customHeight="1" x14ac:dyDescent="0.25">
      <c r="D259" s="2"/>
      <c r="F259" s="3"/>
      <c r="G259" s="2"/>
      <c r="H259" s="3"/>
    </row>
    <row r="260" spans="4:8" ht="15.75" customHeight="1" x14ac:dyDescent="0.25">
      <c r="D260" s="2"/>
      <c r="F260" s="3"/>
      <c r="G260" s="2"/>
      <c r="H260" s="3"/>
    </row>
    <row r="261" spans="4:8" ht="15.75" customHeight="1" x14ac:dyDescent="0.25">
      <c r="D261" s="2"/>
      <c r="F261" s="3"/>
      <c r="G261" s="2"/>
      <c r="H261" s="3"/>
    </row>
    <row r="262" spans="4:8" ht="15.75" customHeight="1" x14ac:dyDescent="0.25">
      <c r="D262" s="2"/>
      <c r="F262" s="3"/>
      <c r="G262" s="2"/>
      <c r="H262" s="3"/>
    </row>
    <row r="263" spans="4:8" ht="15.75" customHeight="1" x14ac:dyDescent="0.25">
      <c r="D263" s="2"/>
      <c r="F263" s="3"/>
      <c r="G263" s="2"/>
      <c r="H263" s="3"/>
    </row>
    <row r="264" spans="4:8" ht="15.75" customHeight="1" x14ac:dyDescent="0.25">
      <c r="D264" s="2"/>
      <c r="F264" s="3"/>
      <c r="G264" s="2"/>
      <c r="H264" s="3"/>
    </row>
    <row r="265" spans="4:8" ht="15.75" customHeight="1" x14ac:dyDescent="0.25">
      <c r="D265" s="2"/>
      <c r="F265" s="3"/>
      <c r="G265" s="2"/>
      <c r="H265" s="3"/>
    </row>
    <row r="266" spans="4:8" ht="15.75" customHeight="1" x14ac:dyDescent="0.25">
      <c r="D266" s="2"/>
      <c r="F266" s="3"/>
      <c r="G266" s="2"/>
      <c r="H266" s="3"/>
    </row>
    <row r="267" spans="4:8" ht="15.75" customHeight="1" x14ac:dyDescent="0.25">
      <c r="D267" s="2"/>
      <c r="F267" s="3"/>
      <c r="G267" s="2"/>
      <c r="H267" s="3"/>
    </row>
    <row r="268" spans="4:8" ht="15.75" customHeight="1" x14ac:dyDescent="0.25">
      <c r="D268" s="2"/>
      <c r="F268" s="3"/>
      <c r="G268" s="2"/>
      <c r="H268" s="3"/>
    </row>
    <row r="269" spans="4:8" ht="15.75" customHeight="1" x14ac:dyDescent="0.25">
      <c r="D269" s="2"/>
      <c r="F269" s="3"/>
      <c r="G269" s="2"/>
      <c r="H269" s="3"/>
    </row>
    <row r="270" spans="4:8" ht="15.75" customHeight="1" x14ac:dyDescent="0.25">
      <c r="D270" s="2"/>
      <c r="F270" s="3"/>
      <c r="G270" s="2"/>
      <c r="H270" s="3"/>
    </row>
    <row r="271" spans="4:8" ht="15.75" customHeight="1" x14ac:dyDescent="0.25">
      <c r="D271" s="2"/>
      <c r="F271" s="3"/>
      <c r="G271" s="2"/>
      <c r="H271" s="3"/>
    </row>
    <row r="272" spans="4:8" ht="15.75" customHeight="1" x14ac:dyDescent="0.25">
      <c r="D272" s="2"/>
      <c r="F272" s="3"/>
      <c r="G272" s="2"/>
      <c r="H272" s="3"/>
    </row>
    <row r="273" spans="4:8" ht="15.75" customHeight="1" x14ac:dyDescent="0.25">
      <c r="D273" s="2"/>
      <c r="F273" s="3"/>
      <c r="G273" s="2"/>
      <c r="H273" s="3"/>
    </row>
    <row r="274" spans="4:8" ht="15.75" customHeight="1" x14ac:dyDescent="0.25">
      <c r="D274" s="2"/>
      <c r="F274" s="3"/>
      <c r="G274" s="2"/>
      <c r="H274" s="3"/>
    </row>
    <row r="275" spans="4:8" ht="15.75" customHeight="1" x14ac:dyDescent="0.25">
      <c r="D275" s="2"/>
      <c r="F275" s="3"/>
      <c r="G275" s="2"/>
      <c r="H275" s="3"/>
    </row>
    <row r="276" spans="4:8" ht="15.75" customHeight="1" x14ac:dyDescent="0.25">
      <c r="D276" s="2"/>
      <c r="F276" s="3"/>
      <c r="G276" s="2"/>
      <c r="H276" s="3"/>
    </row>
    <row r="277" spans="4:8" ht="15.75" customHeight="1" x14ac:dyDescent="0.25">
      <c r="D277" s="2"/>
      <c r="F277" s="3"/>
      <c r="G277" s="2"/>
      <c r="H277" s="3"/>
    </row>
    <row r="278" spans="4:8" ht="15.75" customHeight="1" x14ac:dyDescent="0.25">
      <c r="D278" s="2"/>
      <c r="F278" s="3"/>
      <c r="G278" s="2"/>
      <c r="H278" s="3"/>
    </row>
    <row r="279" spans="4:8" ht="15.75" customHeight="1" x14ac:dyDescent="0.25">
      <c r="D279" s="2"/>
      <c r="F279" s="3"/>
      <c r="G279" s="2"/>
      <c r="H279" s="3"/>
    </row>
    <row r="280" spans="4:8" ht="15.75" customHeight="1" x14ac:dyDescent="0.25">
      <c r="D280" s="2"/>
      <c r="F280" s="3"/>
      <c r="G280" s="2"/>
      <c r="H280" s="3"/>
    </row>
    <row r="281" spans="4:8" ht="15.75" customHeight="1" x14ac:dyDescent="0.25">
      <c r="D281" s="2"/>
      <c r="F281" s="3"/>
      <c r="G281" s="2"/>
      <c r="H281" s="3"/>
    </row>
    <row r="282" spans="4:8" ht="15.75" customHeight="1" x14ac:dyDescent="0.25">
      <c r="D282" s="2"/>
      <c r="F282" s="3"/>
      <c r="G282" s="2"/>
      <c r="H282" s="3"/>
    </row>
    <row r="283" spans="4:8" ht="15.75" customHeight="1" x14ac:dyDescent="0.25">
      <c r="D283" s="2"/>
      <c r="F283" s="3"/>
      <c r="G283" s="2"/>
      <c r="H283" s="3"/>
    </row>
    <row r="284" spans="4:8" ht="15.75" customHeight="1" x14ac:dyDescent="0.25">
      <c r="D284" s="2"/>
      <c r="F284" s="3"/>
      <c r="G284" s="2"/>
      <c r="H284" s="3"/>
    </row>
    <row r="285" spans="4:8" ht="15.75" customHeight="1" x14ac:dyDescent="0.25">
      <c r="D285" s="2"/>
      <c r="F285" s="3"/>
      <c r="G285" s="2"/>
      <c r="H285" s="3"/>
    </row>
    <row r="286" spans="4:8" ht="15.75" customHeight="1" x14ac:dyDescent="0.25">
      <c r="D286" s="2"/>
      <c r="F286" s="3"/>
      <c r="G286" s="2"/>
      <c r="H286" s="3"/>
    </row>
    <row r="287" spans="4:8" ht="15.75" customHeight="1" x14ac:dyDescent="0.25">
      <c r="D287" s="2"/>
      <c r="F287" s="3"/>
      <c r="G287" s="2"/>
      <c r="H287" s="3"/>
    </row>
    <row r="288" spans="4:8" ht="15.75" customHeight="1" x14ac:dyDescent="0.25">
      <c r="D288" s="2"/>
      <c r="F288" s="3"/>
      <c r="G288" s="2"/>
      <c r="H288" s="3"/>
    </row>
    <row r="289" spans="4:8" ht="15.75" customHeight="1" x14ac:dyDescent="0.25">
      <c r="D289" s="2"/>
      <c r="F289" s="3"/>
      <c r="G289" s="2"/>
      <c r="H289" s="3"/>
    </row>
    <row r="290" spans="4:8" ht="15.75" customHeight="1" x14ac:dyDescent="0.25">
      <c r="D290" s="2"/>
      <c r="F290" s="3"/>
      <c r="G290" s="2"/>
      <c r="H290" s="3"/>
    </row>
    <row r="291" spans="4:8" ht="15.75" customHeight="1" x14ac:dyDescent="0.25">
      <c r="D291" s="2"/>
      <c r="F291" s="3"/>
      <c r="G291" s="2"/>
      <c r="H291" s="3"/>
    </row>
    <row r="292" spans="4:8" ht="15.75" customHeight="1" x14ac:dyDescent="0.25">
      <c r="D292" s="2"/>
      <c r="F292" s="3"/>
      <c r="G292" s="2"/>
      <c r="H292" s="3"/>
    </row>
    <row r="293" spans="4:8" ht="15.75" customHeight="1" x14ac:dyDescent="0.25">
      <c r="D293" s="2"/>
      <c r="F293" s="3"/>
      <c r="G293" s="2"/>
      <c r="H293" s="3"/>
    </row>
    <row r="294" spans="4:8" ht="15.75" customHeight="1" x14ac:dyDescent="0.25">
      <c r="D294" s="2"/>
      <c r="F294" s="3"/>
      <c r="G294" s="2"/>
      <c r="H294" s="3"/>
    </row>
    <row r="295" spans="4:8" ht="15.75" customHeight="1" x14ac:dyDescent="0.25">
      <c r="D295" s="2"/>
      <c r="F295" s="3"/>
      <c r="G295" s="2"/>
      <c r="H295" s="3"/>
    </row>
    <row r="296" spans="4:8" ht="15.75" customHeight="1" x14ac:dyDescent="0.25">
      <c r="D296" s="2"/>
      <c r="F296" s="3"/>
      <c r="G296" s="2"/>
      <c r="H296" s="3"/>
    </row>
    <row r="297" spans="4:8" ht="15.75" customHeight="1" x14ac:dyDescent="0.25">
      <c r="D297" s="2"/>
      <c r="F297" s="3"/>
      <c r="G297" s="2"/>
      <c r="H297" s="3"/>
    </row>
    <row r="298" spans="4:8" ht="15.75" customHeight="1" x14ac:dyDescent="0.25">
      <c r="D298" s="2"/>
      <c r="F298" s="3"/>
      <c r="G298" s="2"/>
      <c r="H298" s="3"/>
    </row>
    <row r="299" spans="4:8" ht="15.75" customHeight="1" x14ac:dyDescent="0.25">
      <c r="D299" s="2"/>
      <c r="F299" s="3"/>
      <c r="G299" s="2"/>
      <c r="H299" s="3"/>
    </row>
    <row r="300" spans="4:8" ht="15.75" customHeight="1" x14ac:dyDescent="0.25">
      <c r="D300" s="2"/>
      <c r="F300" s="3"/>
      <c r="G300" s="2"/>
      <c r="H300" s="3"/>
    </row>
    <row r="301" spans="4:8" ht="15.75" customHeight="1" x14ac:dyDescent="0.25">
      <c r="D301" s="2"/>
      <c r="F301" s="3"/>
      <c r="G301" s="2"/>
      <c r="H301" s="3"/>
    </row>
    <row r="302" spans="4:8" ht="15.75" customHeight="1" x14ac:dyDescent="0.25">
      <c r="D302" s="2"/>
      <c r="F302" s="3"/>
      <c r="G302" s="2"/>
      <c r="H302" s="3"/>
    </row>
    <row r="303" spans="4:8" ht="15.75" customHeight="1" x14ac:dyDescent="0.25">
      <c r="D303" s="2"/>
      <c r="F303" s="3"/>
      <c r="G303" s="2"/>
      <c r="H303" s="3"/>
    </row>
    <row r="304" spans="4:8" ht="15.75" customHeight="1" x14ac:dyDescent="0.25">
      <c r="D304" s="2"/>
      <c r="F304" s="3"/>
      <c r="G304" s="2"/>
      <c r="H304" s="3"/>
    </row>
    <row r="305" spans="4:8" ht="15.75" customHeight="1" x14ac:dyDescent="0.25">
      <c r="D305" s="2"/>
      <c r="F305" s="3"/>
      <c r="G305" s="2"/>
      <c r="H305" s="3"/>
    </row>
    <row r="306" spans="4:8" ht="15.75" customHeight="1" x14ac:dyDescent="0.25">
      <c r="D306" s="2"/>
      <c r="F306" s="3"/>
      <c r="G306" s="2"/>
      <c r="H306" s="3"/>
    </row>
    <row r="307" spans="4:8" ht="15.75" customHeight="1" x14ac:dyDescent="0.25">
      <c r="D307" s="2"/>
      <c r="F307" s="3"/>
      <c r="G307" s="2"/>
      <c r="H307" s="3"/>
    </row>
    <row r="308" spans="4:8" ht="15.75" customHeight="1" x14ac:dyDescent="0.25">
      <c r="D308" s="2"/>
      <c r="F308" s="3"/>
      <c r="G308" s="2"/>
      <c r="H308" s="3"/>
    </row>
    <row r="309" spans="4:8" ht="15.75" customHeight="1" x14ac:dyDescent="0.25">
      <c r="D309" s="2"/>
      <c r="F309" s="3"/>
      <c r="G309" s="2"/>
      <c r="H309" s="3"/>
    </row>
    <row r="310" spans="4:8" ht="15.75" customHeight="1" x14ac:dyDescent="0.25">
      <c r="D310" s="2"/>
      <c r="F310" s="3"/>
      <c r="G310" s="2"/>
      <c r="H310" s="3"/>
    </row>
    <row r="311" spans="4:8" ht="15.75" customHeight="1" x14ac:dyDescent="0.25">
      <c r="D311" s="2"/>
      <c r="F311" s="3"/>
      <c r="G311" s="2"/>
      <c r="H311" s="3"/>
    </row>
    <row r="312" spans="4:8" ht="15.75" customHeight="1" x14ac:dyDescent="0.25">
      <c r="D312" s="2"/>
      <c r="F312" s="3"/>
      <c r="G312" s="2"/>
      <c r="H312" s="3"/>
    </row>
    <row r="313" spans="4:8" ht="15.75" customHeight="1" x14ac:dyDescent="0.25">
      <c r="D313" s="2"/>
      <c r="F313" s="3"/>
      <c r="G313" s="2"/>
      <c r="H313" s="3"/>
    </row>
    <row r="314" spans="4:8" ht="15.75" customHeight="1" x14ac:dyDescent="0.25">
      <c r="D314" s="2"/>
      <c r="F314" s="3"/>
      <c r="G314" s="2"/>
      <c r="H314" s="3"/>
    </row>
    <row r="315" spans="4:8" ht="15.75" customHeight="1" x14ac:dyDescent="0.25">
      <c r="D315" s="2"/>
      <c r="F315" s="3"/>
      <c r="G315" s="2"/>
      <c r="H315" s="3"/>
    </row>
    <row r="316" spans="4:8" ht="15.75" customHeight="1" x14ac:dyDescent="0.25">
      <c r="D316" s="2"/>
      <c r="F316" s="3"/>
      <c r="G316" s="2"/>
      <c r="H316" s="3"/>
    </row>
    <row r="317" spans="4:8" ht="15.75" customHeight="1" x14ac:dyDescent="0.25">
      <c r="D317" s="2"/>
      <c r="F317" s="3"/>
      <c r="G317" s="2"/>
      <c r="H317" s="3"/>
    </row>
    <row r="318" spans="4:8" ht="15.75" customHeight="1" x14ac:dyDescent="0.25">
      <c r="D318" s="2"/>
      <c r="F318" s="3"/>
      <c r="G318" s="2"/>
      <c r="H318" s="3"/>
    </row>
    <row r="319" spans="4:8" ht="15.75" customHeight="1" x14ac:dyDescent="0.25">
      <c r="D319" s="2"/>
      <c r="F319" s="3"/>
      <c r="G319" s="2"/>
      <c r="H319" s="3"/>
    </row>
    <row r="320" spans="4:8" ht="15.75" customHeight="1" x14ac:dyDescent="0.25">
      <c r="D320" s="2"/>
      <c r="F320" s="3"/>
      <c r="G320" s="2"/>
      <c r="H320" s="3"/>
    </row>
    <row r="321" spans="4:8" ht="15.75" customHeight="1" x14ac:dyDescent="0.25">
      <c r="D321" s="2"/>
      <c r="F321" s="3"/>
      <c r="G321" s="2"/>
      <c r="H321" s="3"/>
    </row>
    <row r="322" spans="4:8" ht="15.75" customHeight="1" x14ac:dyDescent="0.25">
      <c r="D322" s="2"/>
      <c r="F322" s="3"/>
      <c r="G322" s="2"/>
      <c r="H322" s="3"/>
    </row>
    <row r="323" spans="4:8" ht="15.75" customHeight="1" x14ac:dyDescent="0.25">
      <c r="D323" s="2"/>
      <c r="F323" s="3"/>
      <c r="G323" s="2"/>
      <c r="H323" s="3"/>
    </row>
    <row r="324" spans="4:8" ht="15.75" customHeight="1" x14ac:dyDescent="0.25">
      <c r="D324" s="2"/>
      <c r="F324" s="3"/>
      <c r="G324" s="2"/>
      <c r="H324" s="3"/>
    </row>
    <row r="325" spans="4:8" ht="15.75" customHeight="1" x14ac:dyDescent="0.25">
      <c r="D325" s="2"/>
      <c r="F325" s="3"/>
      <c r="G325" s="2"/>
      <c r="H325" s="3"/>
    </row>
    <row r="326" spans="4:8" ht="15.75" customHeight="1" x14ac:dyDescent="0.25">
      <c r="D326" s="2"/>
      <c r="F326" s="3"/>
      <c r="G326" s="2"/>
      <c r="H326" s="3"/>
    </row>
    <row r="327" spans="4:8" ht="15.75" customHeight="1" x14ac:dyDescent="0.25">
      <c r="D327" s="2"/>
      <c r="F327" s="3"/>
      <c r="G327" s="2"/>
      <c r="H327" s="3"/>
    </row>
    <row r="328" spans="4:8" ht="15.75" customHeight="1" x14ac:dyDescent="0.25">
      <c r="D328" s="2"/>
      <c r="F328" s="3"/>
      <c r="G328" s="2"/>
      <c r="H328" s="3"/>
    </row>
    <row r="329" spans="4:8" ht="15.75" customHeight="1" x14ac:dyDescent="0.25">
      <c r="D329" s="2"/>
      <c r="F329" s="3"/>
      <c r="G329" s="2"/>
      <c r="H329" s="3"/>
    </row>
    <row r="330" spans="4:8" ht="15.75" customHeight="1" x14ac:dyDescent="0.25">
      <c r="D330" s="2"/>
      <c r="F330" s="3"/>
      <c r="G330" s="2"/>
      <c r="H330" s="3"/>
    </row>
    <row r="331" spans="4:8" ht="15.75" customHeight="1" x14ac:dyDescent="0.25">
      <c r="D331" s="2"/>
      <c r="F331" s="3"/>
      <c r="G331" s="2"/>
      <c r="H331" s="3"/>
    </row>
    <row r="332" spans="4:8" ht="15.75" customHeight="1" x14ac:dyDescent="0.25">
      <c r="D332" s="2"/>
      <c r="F332" s="3"/>
      <c r="G332" s="2"/>
      <c r="H332" s="3"/>
    </row>
    <row r="333" spans="4:8" ht="15.75" customHeight="1" x14ac:dyDescent="0.25">
      <c r="D333" s="2"/>
      <c r="F333" s="3"/>
      <c r="G333" s="2"/>
      <c r="H333" s="3"/>
    </row>
    <row r="334" spans="4:8" ht="15.75" customHeight="1" x14ac:dyDescent="0.25">
      <c r="D334" s="2"/>
      <c r="F334" s="3"/>
      <c r="G334" s="2"/>
      <c r="H334" s="3"/>
    </row>
    <row r="335" spans="4:8" ht="15.75" customHeight="1" x14ac:dyDescent="0.25">
      <c r="D335" s="2"/>
      <c r="F335" s="3"/>
      <c r="G335" s="2"/>
      <c r="H335" s="3"/>
    </row>
    <row r="336" spans="4:8" ht="15.75" customHeight="1" x14ac:dyDescent="0.25">
      <c r="D336" s="2"/>
      <c r="F336" s="3"/>
      <c r="G336" s="2"/>
      <c r="H336" s="3"/>
    </row>
    <row r="337" spans="4:8" ht="15.75" customHeight="1" x14ac:dyDescent="0.25">
      <c r="D337" s="2"/>
      <c r="F337" s="3"/>
      <c r="G337" s="2"/>
      <c r="H337" s="3"/>
    </row>
    <row r="338" spans="4:8" ht="15.75" customHeight="1" x14ac:dyDescent="0.25">
      <c r="D338" s="2"/>
      <c r="F338" s="3"/>
      <c r="G338" s="2"/>
      <c r="H338" s="3"/>
    </row>
    <row r="339" spans="4:8" ht="15.75" customHeight="1" x14ac:dyDescent="0.25">
      <c r="D339" s="2"/>
      <c r="F339" s="3"/>
      <c r="G339" s="2"/>
      <c r="H339" s="3"/>
    </row>
    <row r="340" spans="4:8" ht="15.75" customHeight="1" x14ac:dyDescent="0.25">
      <c r="D340" s="2"/>
      <c r="F340" s="3"/>
      <c r="G340" s="2"/>
      <c r="H340" s="3"/>
    </row>
    <row r="341" spans="4:8" ht="15.75" customHeight="1" x14ac:dyDescent="0.25">
      <c r="D341" s="2"/>
      <c r="F341" s="3"/>
      <c r="G341" s="2"/>
      <c r="H341" s="3"/>
    </row>
    <row r="342" spans="4:8" ht="15.75" customHeight="1" x14ac:dyDescent="0.25">
      <c r="D342" s="2"/>
      <c r="F342" s="3"/>
      <c r="G342" s="2"/>
      <c r="H342" s="3"/>
    </row>
    <row r="343" spans="4:8" ht="15.75" customHeight="1" x14ac:dyDescent="0.25">
      <c r="D343" s="2"/>
      <c r="F343" s="3"/>
      <c r="G343" s="2"/>
      <c r="H343" s="3"/>
    </row>
    <row r="344" spans="4:8" ht="15.75" customHeight="1" x14ac:dyDescent="0.25">
      <c r="D344" s="2"/>
      <c r="F344" s="3"/>
      <c r="G344" s="2"/>
      <c r="H344" s="3"/>
    </row>
    <row r="345" spans="4:8" ht="15.75" customHeight="1" x14ac:dyDescent="0.25">
      <c r="D345" s="2"/>
      <c r="F345" s="3"/>
      <c r="G345" s="2"/>
      <c r="H345" s="3"/>
    </row>
    <row r="346" spans="4:8" ht="15.75" customHeight="1" x14ac:dyDescent="0.25">
      <c r="D346" s="2"/>
      <c r="F346" s="3"/>
      <c r="G346" s="2"/>
      <c r="H346" s="3"/>
    </row>
    <row r="347" spans="4:8" ht="15.75" customHeight="1" x14ac:dyDescent="0.25">
      <c r="D347" s="2"/>
      <c r="F347" s="3"/>
      <c r="G347" s="2"/>
      <c r="H347" s="3"/>
    </row>
    <row r="348" spans="4:8" ht="15.75" customHeight="1" x14ac:dyDescent="0.25">
      <c r="D348" s="2"/>
      <c r="F348" s="3"/>
      <c r="G348" s="2"/>
      <c r="H348" s="3"/>
    </row>
    <row r="349" spans="4:8" ht="15.75" customHeight="1" x14ac:dyDescent="0.25">
      <c r="D349" s="2"/>
      <c r="F349" s="3"/>
      <c r="G349" s="2"/>
      <c r="H349" s="3"/>
    </row>
    <row r="350" spans="4:8" ht="15.75" customHeight="1" x14ac:dyDescent="0.25">
      <c r="D350" s="2"/>
      <c r="F350" s="3"/>
      <c r="G350" s="2"/>
      <c r="H350" s="3"/>
    </row>
    <row r="351" spans="4:8" ht="15.75" customHeight="1" x14ac:dyDescent="0.25">
      <c r="D351" s="2"/>
      <c r="F351" s="3"/>
      <c r="G351" s="2"/>
      <c r="H351" s="3"/>
    </row>
    <row r="352" spans="4:8" ht="15.75" customHeight="1" x14ac:dyDescent="0.25">
      <c r="D352" s="2"/>
      <c r="F352" s="3"/>
      <c r="G352" s="2"/>
      <c r="H352" s="3"/>
    </row>
    <row r="353" spans="4:8" ht="15.75" customHeight="1" x14ac:dyDescent="0.25">
      <c r="D353" s="2"/>
      <c r="F353" s="3"/>
      <c r="G353" s="2"/>
      <c r="H353" s="3"/>
    </row>
    <row r="354" spans="4:8" ht="15.75" customHeight="1" x14ac:dyDescent="0.25">
      <c r="D354" s="2"/>
      <c r="F354" s="3"/>
      <c r="G354" s="2"/>
      <c r="H354" s="3"/>
    </row>
    <row r="355" spans="4:8" ht="15.75" customHeight="1" x14ac:dyDescent="0.25">
      <c r="D355" s="2"/>
      <c r="F355" s="3"/>
      <c r="G355" s="2"/>
      <c r="H355" s="3"/>
    </row>
    <row r="356" spans="4:8" ht="15.75" customHeight="1" x14ac:dyDescent="0.25">
      <c r="D356" s="2"/>
      <c r="F356" s="3"/>
      <c r="G356" s="2"/>
      <c r="H356" s="3"/>
    </row>
    <row r="357" spans="4:8" ht="15.75" customHeight="1" x14ac:dyDescent="0.25">
      <c r="D357" s="2"/>
      <c r="F357" s="3"/>
      <c r="G357" s="2"/>
      <c r="H357" s="3"/>
    </row>
    <row r="358" spans="4:8" ht="15.75" customHeight="1" x14ac:dyDescent="0.25">
      <c r="D358" s="2"/>
      <c r="F358" s="3"/>
      <c r="G358" s="2"/>
      <c r="H358" s="3"/>
    </row>
    <row r="359" spans="4:8" ht="15.75" customHeight="1" x14ac:dyDescent="0.25">
      <c r="D359" s="2"/>
      <c r="F359" s="3"/>
      <c r="G359" s="2"/>
      <c r="H359" s="3"/>
    </row>
    <row r="360" spans="4:8" ht="15.75" customHeight="1" x14ac:dyDescent="0.25">
      <c r="D360" s="2"/>
      <c r="F360" s="3"/>
      <c r="G360" s="2"/>
      <c r="H360" s="3"/>
    </row>
    <row r="361" spans="4:8" ht="15.75" customHeight="1" x14ac:dyDescent="0.25">
      <c r="D361" s="2"/>
      <c r="F361" s="3"/>
      <c r="G361" s="2"/>
      <c r="H361" s="3"/>
    </row>
    <row r="362" spans="4:8" ht="15.75" customHeight="1" x14ac:dyDescent="0.25">
      <c r="D362" s="2"/>
      <c r="F362" s="3"/>
      <c r="G362" s="2"/>
      <c r="H362" s="3"/>
    </row>
    <row r="363" spans="4:8" ht="15.75" customHeight="1" x14ac:dyDescent="0.25">
      <c r="D363" s="2"/>
      <c r="F363" s="3"/>
      <c r="G363" s="2"/>
      <c r="H363" s="3"/>
    </row>
    <row r="364" spans="4:8" ht="15.75" customHeight="1" x14ac:dyDescent="0.25">
      <c r="D364" s="2"/>
      <c r="F364" s="3"/>
      <c r="G364" s="2"/>
      <c r="H364" s="3"/>
    </row>
    <row r="365" spans="4:8" ht="15.75" customHeight="1" x14ac:dyDescent="0.25">
      <c r="D365" s="2"/>
      <c r="F365" s="3"/>
      <c r="G365" s="2"/>
      <c r="H365" s="3"/>
    </row>
    <row r="366" spans="4:8" ht="15.75" customHeight="1" x14ac:dyDescent="0.25">
      <c r="D366" s="2"/>
      <c r="F366" s="3"/>
      <c r="G366" s="2"/>
      <c r="H366" s="3"/>
    </row>
    <row r="367" spans="4:8" ht="15.75" customHeight="1" x14ac:dyDescent="0.25">
      <c r="D367" s="2"/>
      <c r="F367" s="3"/>
      <c r="G367" s="2"/>
      <c r="H367" s="3"/>
    </row>
    <row r="368" spans="4:8" ht="15.75" customHeight="1" x14ac:dyDescent="0.25">
      <c r="D368" s="2"/>
      <c r="F368" s="3"/>
      <c r="G368" s="2"/>
      <c r="H368" s="3"/>
    </row>
    <row r="369" spans="4:8" ht="15.75" customHeight="1" x14ac:dyDescent="0.25">
      <c r="D369" s="2"/>
      <c r="F369" s="3"/>
      <c r="G369" s="2"/>
      <c r="H369" s="3"/>
    </row>
    <row r="370" spans="4:8" ht="15.75" customHeight="1" x14ac:dyDescent="0.25">
      <c r="D370" s="2"/>
      <c r="F370" s="3"/>
      <c r="G370" s="2"/>
      <c r="H370" s="3"/>
    </row>
    <row r="371" spans="4:8" ht="15.75" customHeight="1" x14ac:dyDescent="0.25">
      <c r="D371" s="2"/>
      <c r="F371" s="3"/>
      <c r="G371" s="2"/>
      <c r="H371" s="3"/>
    </row>
    <row r="372" spans="4:8" ht="15.75" customHeight="1" x14ac:dyDescent="0.25">
      <c r="D372" s="2"/>
      <c r="F372" s="3"/>
      <c r="G372" s="2"/>
      <c r="H372" s="3"/>
    </row>
    <row r="373" spans="4:8" ht="15.75" customHeight="1" x14ac:dyDescent="0.25">
      <c r="D373" s="2"/>
      <c r="F373" s="3"/>
      <c r="G373" s="2"/>
      <c r="H373" s="3"/>
    </row>
    <row r="374" spans="4:8" ht="15.75" customHeight="1" x14ac:dyDescent="0.25">
      <c r="D374" s="2"/>
      <c r="F374" s="3"/>
      <c r="G374" s="2"/>
      <c r="H374" s="3"/>
    </row>
    <row r="375" spans="4:8" ht="15.75" customHeight="1" x14ac:dyDescent="0.25">
      <c r="D375" s="2"/>
      <c r="F375" s="3"/>
      <c r="G375" s="2"/>
      <c r="H375" s="3"/>
    </row>
    <row r="376" spans="4:8" ht="15.75" customHeight="1" x14ac:dyDescent="0.25">
      <c r="D376" s="2"/>
      <c r="F376" s="3"/>
      <c r="G376" s="2"/>
      <c r="H376" s="3"/>
    </row>
    <row r="377" spans="4:8" ht="15.75" customHeight="1" x14ac:dyDescent="0.25">
      <c r="D377" s="2"/>
      <c r="F377" s="3"/>
      <c r="G377" s="2"/>
      <c r="H377" s="3"/>
    </row>
    <row r="378" spans="4:8" ht="15.75" customHeight="1" x14ac:dyDescent="0.25">
      <c r="D378" s="2"/>
      <c r="F378" s="3"/>
      <c r="G378" s="2"/>
      <c r="H378" s="3"/>
    </row>
    <row r="379" spans="4:8" ht="15.75" customHeight="1" x14ac:dyDescent="0.25">
      <c r="D379" s="2"/>
      <c r="F379" s="3"/>
      <c r="G379" s="2"/>
      <c r="H379" s="3"/>
    </row>
    <row r="380" spans="4:8" ht="15.75" customHeight="1" x14ac:dyDescent="0.25">
      <c r="D380" s="2"/>
      <c r="F380" s="3"/>
      <c r="G380" s="2"/>
      <c r="H380" s="3"/>
    </row>
    <row r="381" spans="4:8" ht="15.75" customHeight="1" x14ac:dyDescent="0.25">
      <c r="D381" s="2"/>
      <c r="F381" s="3"/>
      <c r="G381" s="2"/>
      <c r="H381" s="3"/>
    </row>
    <row r="382" spans="4:8" ht="15.75" customHeight="1" x14ac:dyDescent="0.25">
      <c r="D382" s="2"/>
      <c r="F382" s="3"/>
      <c r="G382" s="2"/>
      <c r="H382" s="3"/>
    </row>
    <row r="383" spans="4:8" ht="15.75" customHeight="1" x14ac:dyDescent="0.25">
      <c r="D383" s="2"/>
      <c r="F383" s="3"/>
      <c r="G383" s="2"/>
      <c r="H383" s="3"/>
    </row>
    <row r="384" spans="4:8" ht="15.75" customHeight="1" x14ac:dyDescent="0.25">
      <c r="D384" s="2"/>
      <c r="F384" s="3"/>
      <c r="G384" s="2"/>
      <c r="H384" s="3"/>
    </row>
    <row r="385" spans="4:8" ht="15.75" customHeight="1" x14ac:dyDescent="0.25">
      <c r="D385" s="2"/>
      <c r="F385" s="3"/>
      <c r="G385" s="2"/>
      <c r="H385" s="3"/>
    </row>
    <row r="386" spans="4:8" ht="15.75" customHeight="1" x14ac:dyDescent="0.25">
      <c r="D386" s="2"/>
      <c r="F386" s="3"/>
      <c r="G386" s="2"/>
      <c r="H386" s="3"/>
    </row>
    <row r="387" spans="4:8" ht="15.75" customHeight="1" x14ac:dyDescent="0.25">
      <c r="D387" s="2"/>
      <c r="F387" s="3"/>
      <c r="G387" s="2"/>
      <c r="H387" s="3"/>
    </row>
    <row r="388" spans="4:8" ht="15.75" customHeight="1" x14ac:dyDescent="0.25">
      <c r="D388" s="2"/>
      <c r="F388" s="3"/>
      <c r="G388" s="2"/>
      <c r="H388" s="3"/>
    </row>
    <row r="389" spans="4:8" ht="15.75" customHeight="1" x14ac:dyDescent="0.25">
      <c r="D389" s="2"/>
      <c r="F389" s="3"/>
      <c r="G389" s="2"/>
      <c r="H389" s="3"/>
    </row>
    <row r="390" spans="4:8" ht="15.75" customHeight="1" x14ac:dyDescent="0.25">
      <c r="D390" s="2"/>
      <c r="F390" s="3"/>
      <c r="G390" s="2"/>
      <c r="H390" s="3"/>
    </row>
    <row r="391" spans="4:8" ht="15.75" customHeight="1" x14ac:dyDescent="0.25">
      <c r="D391" s="2"/>
      <c r="F391" s="3"/>
      <c r="G391" s="2"/>
      <c r="H391" s="3"/>
    </row>
    <row r="392" spans="4:8" ht="15.75" customHeight="1" x14ac:dyDescent="0.25">
      <c r="D392" s="2"/>
      <c r="F392" s="3"/>
      <c r="G392" s="2"/>
      <c r="H392" s="3"/>
    </row>
    <row r="393" spans="4:8" ht="15.75" customHeight="1" x14ac:dyDescent="0.25">
      <c r="D393" s="2"/>
      <c r="F393" s="3"/>
      <c r="G393" s="2"/>
      <c r="H393" s="3"/>
    </row>
    <row r="394" spans="4:8" ht="15.75" customHeight="1" x14ac:dyDescent="0.25">
      <c r="D394" s="2"/>
      <c r="F394" s="3"/>
      <c r="G394" s="2"/>
      <c r="H394" s="3"/>
    </row>
    <row r="395" spans="4:8" ht="15.75" customHeight="1" x14ac:dyDescent="0.25">
      <c r="D395" s="2"/>
      <c r="F395" s="3"/>
      <c r="G395" s="2"/>
      <c r="H395" s="3"/>
    </row>
    <row r="396" spans="4:8" ht="15.75" customHeight="1" x14ac:dyDescent="0.25">
      <c r="D396" s="2"/>
      <c r="F396" s="3"/>
      <c r="G396" s="2"/>
      <c r="H396" s="3"/>
    </row>
    <row r="397" spans="4:8" ht="15.75" customHeight="1" x14ac:dyDescent="0.25">
      <c r="D397" s="2"/>
      <c r="F397" s="3"/>
      <c r="G397" s="2"/>
      <c r="H397" s="3"/>
    </row>
    <row r="398" spans="4:8" ht="15.75" customHeight="1" x14ac:dyDescent="0.25">
      <c r="D398" s="2"/>
      <c r="F398" s="3"/>
      <c r="G398" s="2"/>
      <c r="H398" s="3"/>
    </row>
    <row r="399" spans="4:8" ht="15.75" customHeight="1" x14ac:dyDescent="0.25">
      <c r="D399" s="2"/>
      <c r="F399" s="3"/>
      <c r="G399" s="2"/>
      <c r="H399" s="3"/>
    </row>
    <row r="400" spans="4:8" ht="15.75" customHeight="1" x14ac:dyDescent="0.25">
      <c r="D400" s="2"/>
      <c r="F400" s="3"/>
      <c r="G400" s="2"/>
      <c r="H400" s="3"/>
    </row>
    <row r="401" spans="4:8" ht="15.75" customHeight="1" x14ac:dyDescent="0.25">
      <c r="D401" s="2"/>
      <c r="F401" s="3"/>
      <c r="G401" s="2"/>
      <c r="H401" s="3"/>
    </row>
    <row r="402" spans="4:8" ht="15.75" customHeight="1" x14ac:dyDescent="0.25">
      <c r="D402" s="2"/>
      <c r="F402" s="3"/>
      <c r="G402" s="2"/>
      <c r="H402" s="3"/>
    </row>
    <row r="403" spans="4:8" ht="15.75" customHeight="1" x14ac:dyDescent="0.25">
      <c r="D403" s="2"/>
      <c r="F403" s="3"/>
      <c r="G403" s="2"/>
      <c r="H403" s="3"/>
    </row>
    <row r="404" spans="4:8" ht="15.75" customHeight="1" x14ac:dyDescent="0.25">
      <c r="D404" s="2"/>
      <c r="F404" s="3"/>
      <c r="G404" s="2"/>
      <c r="H404" s="3"/>
    </row>
    <row r="405" spans="4:8" ht="15.75" customHeight="1" x14ac:dyDescent="0.25">
      <c r="D405" s="2"/>
      <c r="F405" s="3"/>
      <c r="G405" s="2"/>
      <c r="H405" s="3"/>
    </row>
    <row r="406" spans="4:8" ht="15.75" customHeight="1" x14ac:dyDescent="0.25">
      <c r="D406" s="2"/>
      <c r="F406" s="3"/>
      <c r="G406" s="2"/>
      <c r="H406" s="3"/>
    </row>
    <row r="407" spans="4:8" ht="15.75" customHeight="1" x14ac:dyDescent="0.25">
      <c r="D407" s="2"/>
      <c r="F407" s="3"/>
      <c r="G407" s="2"/>
      <c r="H407" s="3"/>
    </row>
    <row r="408" spans="4:8" ht="15.75" customHeight="1" x14ac:dyDescent="0.25">
      <c r="D408" s="2"/>
      <c r="F408" s="3"/>
      <c r="G408" s="2"/>
      <c r="H408" s="3"/>
    </row>
    <row r="409" spans="4:8" ht="15.75" customHeight="1" x14ac:dyDescent="0.25">
      <c r="D409" s="2"/>
      <c r="F409" s="3"/>
      <c r="G409" s="2"/>
      <c r="H409" s="3"/>
    </row>
    <row r="410" spans="4:8" ht="15.75" customHeight="1" x14ac:dyDescent="0.25">
      <c r="D410" s="2"/>
      <c r="F410" s="3"/>
      <c r="G410" s="2"/>
      <c r="H410" s="3"/>
    </row>
    <row r="411" spans="4:8" ht="15.75" customHeight="1" x14ac:dyDescent="0.25">
      <c r="D411" s="2"/>
      <c r="F411" s="3"/>
      <c r="G411" s="2"/>
      <c r="H411" s="3"/>
    </row>
    <row r="412" spans="4:8" ht="15.75" customHeight="1" x14ac:dyDescent="0.25">
      <c r="D412" s="2"/>
      <c r="F412" s="3"/>
      <c r="G412" s="2"/>
      <c r="H412" s="3"/>
    </row>
    <row r="413" spans="4:8" ht="15.75" customHeight="1" x14ac:dyDescent="0.25">
      <c r="D413" s="2"/>
      <c r="F413" s="3"/>
      <c r="G413" s="2"/>
      <c r="H413" s="3"/>
    </row>
    <row r="414" spans="4:8" ht="15.75" customHeight="1" x14ac:dyDescent="0.25">
      <c r="D414" s="2"/>
      <c r="F414" s="3"/>
      <c r="G414" s="2"/>
      <c r="H414" s="3"/>
    </row>
    <row r="415" spans="4:8" ht="15.75" customHeight="1" x14ac:dyDescent="0.25">
      <c r="D415" s="2"/>
      <c r="F415" s="3"/>
      <c r="G415" s="2"/>
      <c r="H415" s="3"/>
    </row>
    <row r="416" spans="4:8" ht="15.75" customHeight="1" x14ac:dyDescent="0.25">
      <c r="D416" s="2"/>
      <c r="F416" s="3"/>
      <c r="G416" s="2"/>
      <c r="H416" s="3"/>
    </row>
    <row r="417" spans="4:8" ht="15.75" customHeight="1" x14ac:dyDescent="0.25">
      <c r="D417" s="2"/>
      <c r="F417" s="3"/>
      <c r="G417" s="2"/>
      <c r="H417" s="3"/>
    </row>
    <row r="418" spans="4:8" ht="15.75" customHeight="1" x14ac:dyDescent="0.25">
      <c r="D418" s="2"/>
      <c r="F418" s="3"/>
      <c r="G418" s="2"/>
      <c r="H418" s="3"/>
    </row>
    <row r="419" spans="4:8" ht="15.75" customHeight="1" x14ac:dyDescent="0.25">
      <c r="D419" s="2"/>
      <c r="F419" s="3"/>
      <c r="G419" s="2"/>
      <c r="H419" s="3"/>
    </row>
    <row r="420" spans="4:8" ht="15.75" customHeight="1" x14ac:dyDescent="0.25">
      <c r="D420" s="2"/>
      <c r="F420" s="3"/>
      <c r="G420" s="2"/>
      <c r="H420" s="3"/>
    </row>
    <row r="421" spans="4:8" ht="15.75" customHeight="1" x14ac:dyDescent="0.25">
      <c r="D421" s="2"/>
      <c r="F421" s="3"/>
      <c r="G421" s="2"/>
      <c r="H421" s="3"/>
    </row>
    <row r="422" spans="4:8" ht="15.75" customHeight="1" x14ac:dyDescent="0.25">
      <c r="D422" s="2"/>
      <c r="F422" s="3"/>
      <c r="G422" s="2"/>
      <c r="H422" s="3"/>
    </row>
    <row r="423" spans="4:8" ht="15.75" customHeight="1" x14ac:dyDescent="0.25">
      <c r="D423" s="2"/>
      <c r="F423" s="3"/>
      <c r="G423" s="2"/>
      <c r="H423" s="3"/>
    </row>
    <row r="424" spans="4:8" ht="15.75" customHeight="1" x14ac:dyDescent="0.25">
      <c r="D424" s="2"/>
      <c r="F424" s="3"/>
      <c r="G424" s="2"/>
      <c r="H424" s="3"/>
    </row>
    <row r="425" spans="4:8" ht="15.75" customHeight="1" x14ac:dyDescent="0.25">
      <c r="D425" s="2"/>
      <c r="F425" s="3"/>
      <c r="G425" s="2"/>
      <c r="H425" s="3"/>
    </row>
    <row r="426" spans="4:8" ht="15.75" customHeight="1" x14ac:dyDescent="0.25">
      <c r="D426" s="2"/>
      <c r="F426" s="3"/>
      <c r="G426" s="2"/>
      <c r="H426" s="3"/>
    </row>
    <row r="427" spans="4:8" ht="15.75" customHeight="1" x14ac:dyDescent="0.25">
      <c r="D427" s="2"/>
      <c r="F427" s="3"/>
      <c r="G427" s="2"/>
      <c r="H427" s="3"/>
    </row>
    <row r="428" spans="4:8" ht="15.75" customHeight="1" x14ac:dyDescent="0.25">
      <c r="D428" s="2"/>
      <c r="F428" s="3"/>
      <c r="G428" s="2"/>
      <c r="H428" s="3"/>
    </row>
    <row r="429" spans="4:8" ht="15.75" customHeight="1" x14ac:dyDescent="0.25">
      <c r="D429" s="2"/>
      <c r="F429" s="3"/>
      <c r="G429" s="2"/>
      <c r="H429" s="3"/>
    </row>
    <row r="430" spans="4:8" ht="15.75" customHeight="1" x14ac:dyDescent="0.25">
      <c r="D430" s="2"/>
      <c r="F430" s="3"/>
      <c r="G430" s="2"/>
      <c r="H430" s="3"/>
    </row>
    <row r="431" spans="4:8" ht="15.75" customHeight="1" x14ac:dyDescent="0.25">
      <c r="D431" s="2"/>
      <c r="F431" s="3"/>
      <c r="G431" s="2"/>
      <c r="H431" s="3"/>
    </row>
    <row r="432" spans="4:8" ht="15.75" customHeight="1" x14ac:dyDescent="0.25">
      <c r="D432" s="2"/>
      <c r="F432" s="3"/>
      <c r="G432" s="2"/>
      <c r="H432" s="3"/>
    </row>
    <row r="433" spans="4:8" ht="15.75" customHeight="1" x14ac:dyDescent="0.25">
      <c r="D433" s="2"/>
      <c r="F433" s="3"/>
      <c r="G433" s="2"/>
      <c r="H433" s="3"/>
    </row>
    <row r="434" spans="4:8" ht="15.75" customHeight="1" x14ac:dyDescent="0.25">
      <c r="D434" s="2"/>
      <c r="F434" s="3"/>
      <c r="G434" s="2"/>
      <c r="H434" s="3"/>
    </row>
    <row r="435" spans="4:8" ht="15.75" customHeight="1" x14ac:dyDescent="0.25">
      <c r="D435" s="2"/>
      <c r="F435" s="3"/>
      <c r="G435" s="2"/>
      <c r="H435" s="3"/>
    </row>
    <row r="436" spans="4:8" ht="15.75" customHeight="1" x14ac:dyDescent="0.25">
      <c r="D436" s="2"/>
      <c r="F436" s="3"/>
      <c r="G436" s="2"/>
      <c r="H436" s="3"/>
    </row>
    <row r="437" spans="4:8" ht="15.75" customHeight="1" x14ac:dyDescent="0.25">
      <c r="D437" s="2"/>
      <c r="F437" s="3"/>
      <c r="G437" s="2"/>
      <c r="H437" s="3"/>
    </row>
    <row r="438" spans="4:8" ht="15.75" customHeight="1" x14ac:dyDescent="0.25">
      <c r="D438" s="2"/>
      <c r="F438" s="3"/>
      <c r="G438" s="2"/>
      <c r="H438" s="3"/>
    </row>
    <row r="439" spans="4:8" ht="15.75" customHeight="1" x14ac:dyDescent="0.25">
      <c r="D439" s="2"/>
      <c r="F439" s="3"/>
      <c r="G439" s="2"/>
      <c r="H439" s="3"/>
    </row>
    <row r="440" spans="4:8" ht="15.75" customHeight="1" x14ac:dyDescent="0.25">
      <c r="D440" s="2"/>
      <c r="F440" s="3"/>
      <c r="G440" s="2"/>
      <c r="H440" s="3"/>
    </row>
    <row r="441" spans="4:8" ht="15.75" customHeight="1" x14ac:dyDescent="0.25">
      <c r="D441" s="2"/>
      <c r="F441" s="3"/>
      <c r="G441" s="2"/>
      <c r="H441" s="3"/>
    </row>
    <row r="442" spans="4:8" ht="15.75" customHeight="1" x14ac:dyDescent="0.25">
      <c r="D442" s="2"/>
      <c r="F442" s="3"/>
      <c r="G442" s="2"/>
      <c r="H442" s="3"/>
    </row>
    <row r="443" spans="4:8" ht="15.75" customHeight="1" x14ac:dyDescent="0.25">
      <c r="D443" s="2"/>
      <c r="F443" s="3"/>
      <c r="G443" s="2"/>
      <c r="H443" s="3"/>
    </row>
    <row r="444" spans="4:8" ht="15.75" customHeight="1" x14ac:dyDescent="0.25">
      <c r="D444" s="2"/>
      <c r="F444" s="3"/>
      <c r="G444" s="2"/>
      <c r="H444" s="3"/>
    </row>
    <row r="445" spans="4:8" ht="15.75" customHeight="1" x14ac:dyDescent="0.25">
      <c r="D445" s="2"/>
      <c r="F445" s="3"/>
      <c r="G445" s="2"/>
      <c r="H445" s="3"/>
    </row>
    <row r="446" spans="4:8" ht="15.75" customHeight="1" x14ac:dyDescent="0.25">
      <c r="D446" s="2"/>
      <c r="F446" s="3"/>
      <c r="G446" s="2"/>
      <c r="H446" s="3"/>
    </row>
    <row r="447" spans="4:8" ht="15.75" customHeight="1" x14ac:dyDescent="0.25">
      <c r="D447" s="2"/>
      <c r="F447" s="3"/>
      <c r="G447" s="2"/>
      <c r="H447" s="3"/>
    </row>
    <row r="448" spans="4:8" ht="15.75" customHeight="1" x14ac:dyDescent="0.25">
      <c r="D448" s="2"/>
      <c r="F448" s="3"/>
      <c r="G448" s="2"/>
      <c r="H448" s="3"/>
    </row>
    <row r="449" spans="4:8" ht="15.75" customHeight="1" x14ac:dyDescent="0.25">
      <c r="D449" s="2"/>
      <c r="F449" s="3"/>
      <c r="G449" s="2"/>
      <c r="H449" s="3"/>
    </row>
    <row r="450" spans="4:8" ht="15.75" customHeight="1" x14ac:dyDescent="0.25">
      <c r="D450" s="2"/>
      <c r="F450" s="3"/>
      <c r="G450" s="2"/>
      <c r="H450" s="3"/>
    </row>
    <row r="451" spans="4:8" ht="15.75" customHeight="1" x14ac:dyDescent="0.25">
      <c r="D451" s="2"/>
      <c r="F451" s="3"/>
      <c r="G451" s="2"/>
      <c r="H451" s="3"/>
    </row>
    <row r="452" spans="4:8" ht="15.75" customHeight="1" x14ac:dyDescent="0.25">
      <c r="D452" s="2"/>
      <c r="F452" s="3"/>
      <c r="G452" s="2"/>
      <c r="H452" s="3"/>
    </row>
    <row r="453" spans="4:8" ht="15.75" customHeight="1" x14ac:dyDescent="0.25">
      <c r="D453" s="2"/>
      <c r="F453" s="3"/>
      <c r="G453" s="2"/>
      <c r="H453" s="3"/>
    </row>
    <row r="454" spans="4:8" ht="15.75" customHeight="1" x14ac:dyDescent="0.25">
      <c r="D454" s="2"/>
      <c r="F454" s="3"/>
      <c r="G454" s="2"/>
      <c r="H454" s="3"/>
    </row>
    <row r="455" spans="4:8" ht="15.75" customHeight="1" x14ac:dyDescent="0.25">
      <c r="D455" s="2"/>
      <c r="F455" s="3"/>
      <c r="G455" s="2"/>
      <c r="H455" s="3"/>
    </row>
    <row r="456" spans="4:8" ht="15.75" customHeight="1" x14ac:dyDescent="0.25">
      <c r="D456" s="2"/>
      <c r="F456" s="3"/>
      <c r="G456" s="2"/>
      <c r="H456" s="3"/>
    </row>
    <row r="457" spans="4:8" ht="15.75" customHeight="1" x14ac:dyDescent="0.25">
      <c r="D457" s="2"/>
      <c r="F457" s="3"/>
      <c r="G457" s="2"/>
      <c r="H457" s="3"/>
    </row>
    <row r="458" spans="4:8" ht="15.75" customHeight="1" x14ac:dyDescent="0.25">
      <c r="D458" s="2"/>
      <c r="F458" s="3"/>
      <c r="G458" s="2"/>
      <c r="H458" s="3"/>
    </row>
    <row r="459" spans="4:8" ht="15.75" customHeight="1" x14ac:dyDescent="0.25">
      <c r="D459" s="2"/>
      <c r="F459" s="3"/>
      <c r="G459" s="2"/>
      <c r="H459" s="3"/>
    </row>
    <row r="460" spans="4:8" ht="15.75" customHeight="1" x14ac:dyDescent="0.25">
      <c r="D460" s="2"/>
      <c r="F460" s="3"/>
      <c r="G460" s="2"/>
      <c r="H460" s="3"/>
    </row>
    <row r="461" spans="4:8" ht="15.75" customHeight="1" x14ac:dyDescent="0.25">
      <c r="D461" s="2"/>
      <c r="F461" s="3"/>
      <c r="G461" s="2"/>
      <c r="H461" s="3"/>
    </row>
    <row r="462" spans="4:8" ht="15.75" customHeight="1" x14ac:dyDescent="0.25">
      <c r="D462" s="2"/>
      <c r="F462" s="3"/>
      <c r="G462" s="2"/>
      <c r="H462" s="3"/>
    </row>
    <row r="463" spans="4:8" ht="15.75" customHeight="1" x14ac:dyDescent="0.25">
      <c r="D463" s="2"/>
      <c r="F463" s="3"/>
      <c r="G463" s="2"/>
      <c r="H463" s="3"/>
    </row>
    <row r="464" spans="4:8" ht="15.75" customHeight="1" x14ac:dyDescent="0.25">
      <c r="D464" s="2"/>
      <c r="F464" s="3"/>
      <c r="G464" s="2"/>
      <c r="H464" s="3"/>
    </row>
    <row r="465" spans="4:8" ht="15.75" customHeight="1" x14ac:dyDescent="0.25">
      <c r="D465" s="2"/>
      <c r="F465" s="3"/>
      <c r="G465" s="2"/>
      <c r="H465" s="3"/>
    </row>
    <row r="466" spans="4:8" ht="15.75" customHeight="1" x14ac:dyDescent="0.25">
      <c r="D466" s="2"/>
      <c r="F466" s="3"/>
      <c r="G466" s="2"/>
      <c r="H466" s="3"/>
    </row>
    <row r="467" spans="4:8" ht="15.75" customHeight="1" x14ac:dyDescent="0.25">
      <c r="D467" s="2"/>
      <c r="F467" s="3"/>
      <c r="G467" s="2"/>
      <c r="H467" s="3"/>
    </row>
    <row r="468" spans="4:8" ht="15.75" customHeight="1" x14ac:dyDescent="0.25">
      <c r="D468" s="2"/>
      <c r="F468" s="3"/>
      <c r="G468" s="2"/>
      <c r="H468" s="3"/>
    </row>
    <row r="469" spans="4:8" ht="15.75" customHeight="1" x14ac:dyDescent="0.25">
      <c r="D469" s="2"/>
      <c r="F469" s="3"/>
      <c r="G469" s="2"/>
      <c r="H469" s="3"/>
    </row>
    <row r="470" spans="4:8" ht="15.75" customHeight="1" x14ac:dyDescent="0.25">
      <c r="D470" s="2"/>
      <c r="F470" s="3"/>
      <c r="G470" s="2"/>
      <c r="H470" s="3"/>
    </row>
    <row r="471" spans="4:8" ht="15.75" customHeight="1" x14ac:dyDescent="0.25">
      <c r="D471" s="2"/>
      <c r="F471" s="3"/>
      <c r="G471" s="2"/>
      <c r="H471" s="3"/>
    </row>
    <row r="472" spans="4:8" ht="15.75" customHeight="1" x14ac:dyDescent="0.25">
      <c r="D472" s="2"/>
      <c r="F472" s="3"/>
      <c r="G472" s="2"/>
      <c r="H472" s="3"/>
    </row>
    <row r="473" spans="4:8" ht="15.75" customHeight="1" x14ac:dyDescent="0.25">
      <c r="D473" s="2"/>
      <c r="F473" s="3"/>
      <c r="G473" s="2"/>
      <c r="H473" s="3"/>
    </row>
    <row r="474" spans="4:8" ht="15.75" customHeight="1" x14ac:dyDescent="0.25">
      <c r="D474" s="2"/>
      <c r="F474" s="3"/>
      <c r="G474" s="2"/>
      <c r="H474" s="3"/>
    </row>
    <row r="475" spans="4:8" ht="15.75" customHeight="1" x14ac:dyDescent="0.25">
      <c r="D475" s="2"/>
      <c r="F475" s="3"/>
      <c r="G475" s="2"/>
      <c r="H475" s="3"/>
    </row>
    <row r="476" spans="4:8" ht="15.75" customHeight="1" x14ac:dyDescent="0.25">
      <c r="D476" s="2"/>
      <c r="F476" s="3"/>
      <c r="G476" s="2"/>
      <c r="H476" s="3"/>
    </row>
    <row r="477" spans="4:8" ht="15.75" customHeight="1" x14ac:dyDescent="0.25">
      <c r="D477" s="2"/>
      <c r="F477" s="3"/>
      <c r="G477" s="2"/>
      <c r="H477" s="3"/>
    </row>
    <row r="478" spans="4:8" ht="15.75" customHeight="1" x14ac:dyDescent="0.25">
      <c r="D478" s="2"/>
      <c r="F478" s="3"/>
      <c r="G478" s="2"/>
      <c r="H478" s="3"/>
    </row>
    <row r="479" spans="4:8" ht="15.75" customHeight="1" x14ac:dyDescent="0.25">
      <c r="D479" s="2"/>
      <c r="F479" s="3"/>
      <c r="G479" s="2"/>
      <c r="H479" s="3"/>
    </row>
    <row r="480" spans="4:8" ht="15.75" customHeight="1" x14ac:dyDescent="0.25">
      <c r="D480" s="2"/>
      <c r="F480" s="3"/>
      <c r="G480" s="2"/>
      <c r="H480" s="3"/>
    </row>
    <row r="481" spans="4:8" ht="15.75" customHeight="1" x14ac:dyDescent="0.25">
      <c r="D481" s="2"/>
      <c r="F481" s="3"/>
      <c r="G481" s="2"/>
      <c r="H481" s="3"/>
    </row>
    <row r="482" spans="4:8" ht="15.75" customHeight="1" x14ac:dyDescent="0.25">
      <c r="D482" s="2"/>
      <c r="F482" s="3"/>
      <c r="G482" s="2"/>
      <c r="H482" s="3"/>
    </row>
    <row r="483" spans="4:8" ht="15.75" customHeight="1" x14ac:dyDescent="0.25">
      <c r="D483" s="2"/>
      <c r="F483" s="3"/>
      <c r="G483" s="2"/>
      <c r="H483" s="3"/>
    </row>
    <row r="484" spans="4:8" ht="15.75" customHeight="1" x14ac:dyDescent="0.25">
      <c r="D484" s="2"/>
      <c r="F484" s="3"/>
      <c r="G484" s="2"/>
      <c r="H484" s="3"/>
    </row>
    <row r="485" spans="4:8" ht="15.75" customHeight="1" x14ac:dyDescent="0.25">
      <c r="D485" s="2"/>
      <c r="F485" s="3"/>
      <c r="G485" s="2"/>
      <c r="H485" s="3"/>
    </row>
    <row r="486" spans="4:8" ht="15.75" customHeight="1" x14ac:dyDescent="0.25">
      <c r="D486" s="2"/>
      <c r="F486" s="3"/>
      <c r="G486" s="2"/>
      <c r="H486" s="3"/>
    </row>
    <row r="487" spans="4:8" ht="15.75" customHeight="1" x14ac:dyDescent="0.25">
      <c r="D487" s="2"/>
      <c r="F487" s="3"/>
      <c r="G487" s="2"/>
      <c r="H487" s="3"/>
    </row>
    <row r="488" spans="4:8" ht="15.75" customHeight="1" x14ac:dyDescent="0.25">
      <c r="D488" s="2"/>
      <c r="F488" s="3"/>
      <c r="G488" s="2"/>
      <c r="H488" s="3"/>
    </row>
    <row r="489" spans="4:8" ht="15.75" customHeight="1" x14ac:dyDescent="0.25">
      <c r="D489" s="2"/>
      <c r="F489" s="3"/>
      <c r="G489" s="2"/>
      <c r="H489" s="3"/>
    </row>
    <row r="490" spans="4:8" ht="15.75" customHeight="1" x14ac:dyDescent="0.25">
      <c r="D490" s="2"/>
      <c r="F490" s="3"/>
      <c r="G490" s="2"/>
      <c r="H490" s="3"/>
    </row>
    <row r="491" spans="4:8" ht="15.75" customHeight="1" x14ac:dyDescent="0.25">
      <c r="D491" s="2"/>
      <c r="F491" s="3"/>
      <c r="G491" s="2"/>
      <c r="H491" s="3"/>
    </row>
    <row r="492" spans="4:8" ht="15.75" customHeight="1" x14ac:dyDescent="0.25">
      <c r="D492" s="2"/>
      <c r="F492" s="3"/>
      <c r="G492" s="2"/>
      <c r="H492" s="3"/>
    </row>
    <row r="493" spans="4:8" ht="15.75" customHeight="1" x14ac:dyDescent="0.25">
      <c r="D493" s="2"/>
      <c r="F493" s="3"/>
      <c r="G493" s="2"/>
      <c r="H493" s="3"/>
    </row>
    <row r="494" spans="4:8" ht="15.75" customHeight="1" x14ac:dyDescent="0.25">
      <c r="D494" s="2"/>
      <c r="F494" s="3"/>
      <c r="G494" s="2"/>
      <c r="H494" s="3"/>
    </row>
    <row r="495" spans="4:8" ht="15.75" customHeight="1" x14ac:dyDescent="0.25">
      <c r="D495" s="2"/>
      <c r="F495" s="3"/>
      <c r="G495" s="2"/>
      <c r="H495" s="3"/>
    </row>
    <row r="496" spans="4:8" ht="15.75" customHeight="1" x14ac:dyDescent="0.25">
      <c r="D496" s="2"/>
      <c r="F496" s="3"/>
      <c r="G496" s="2"/>
      <c r="H496" s="3"/>
    </row>
    <row r="497" spans="4:8" ht="15.75" customHeight="1" x14ac:dyDescent="0.25">
      <c r="D497" s="2"/>
      <c r="F497" s="3"/>
      <c r="G497" s="2"/>
      <c r="H497" s="3"/>
    </row>
    <row r="498" spans="4:8" ht="15.75" customHeight="1" x14ac:dyDescent="0.25">
      <c r="D498" s="2"/>
      <c r="F498" s="3"/>
      <c r="G498" s="2"/>
      <c r="H498" s="3"/>
    </row>
    <row r="499" spans="4:8" ht="15.75" customHeight="1" x14ac:dyDescent="0.25">
      <c r="D499" s="2"/>
      <c r="F499" s="3"/>
      <c r="G499" s="2"/>
      <c r="H499" s="3"/>
    </row>
    <row r="500" spans="4:8" ht="15.75" customHeight="1" x14ac:dyDescent="0.25">
      <c r="D500" s="2"/>
      <c r="F500" s="3"/>
      <c r="G500" s="2"/>
      <c r="H500" s="3"/>
    </row>
    <row r="501" spans="4:8" ht="15.75" customHeight="1" x14ac:dyDescent="0.25">
      <c r="D501" s="2"/>
      <c r="F501" s="3"/>
      <c r="G501" s="2"/>
      <c r="H501" s="3"/>
    </row>
    <row r="502" spans="4:8" ht="15.75" customHeight="1" x14ac:dyDescent="0.25">
      <c r="D502" s="2"/>
      <c r="F502" s="3"/>
      <c r="G502" s="2"/>
      <c r="H502" s="3"/>
    </row>
    <row r="503" spans="4:8" ht="15.75" customHeight="1" x14ac:dyDescent="0.25">
      <c r="D503" s="2"/>
      <c r="F503" s="3"/>
      <c r="G503" s="2"/>
      <c r="H503" s="3"/>
    </row>
    <row r="504" spans="4:8" ht="15.75" customHeight="1" x14ac:dyDescent="0.25">
      <c r="D504" s="2"/>
      <c r="F504" s="3"/>
      <c r="G504" s="2"/>
      <c r="H504" s="3"/>
    </row>
    <row r="505" spans="4:8" ht="15.75" customHeight="1" x14ac:dyDescent="0.25">
      <c r="D505" s="2"/>
      <c r="F505" s="3"/>
      <c r="G505" s="2"/>
      <c r="H505" s="3"/>
    </row>
    <row r="506" spans="4:8" ht="15.75" customHeight="1" x14ac:dyDescent="0.25">
      <c r="D506" s="2"/>
      <c r="F506" s="3"/>
      <c r="G506" s="2"/>
      <c r="H506" s="3"/>
    </row>
    <row r="507" spans="4:8" ht="15.75" customHeight="1" x14ac:dyDescent="0.25">
      <c r="D507" s="2"/>
      <c r="F507" s="3"/>
      <c r="G507" s="2"/>
      <c r="H507" s="3"/>
    </row>
    <row r="508" spans="4:8" ht="15.75" customHeight="1" x14ac:dyDescent="0.25">
      <c r="D508" s="2"/>
      <c r="F508" s="3"/>
      <c r="G508" s="2"/>
      <c r="H508" s="3"/>
    </row>
    <row r="509" spans="4:8" ht="15.75" customHeight="1" x14ac:dyDescent="0.25">
      <c r="D509" s="2"/>
      <c r="F509" s="3"/>
      <c r="G509" s="2"/>
      <c r="H509" s="3"/>
    </row>
    <row r="510" spans="4:8" ht="15.75" customHeight="1" x14ac:dyDescent="0.25">
      <c r="D510" s="2"/>
      <c r="F510" s="3"/>
      <c r="G510" s="2"/>
      <c r="H510" s="3"/>
    </row>
    <row r="511" spans="4:8" ht="15.75" customHeight="1" x14ac:dyDescent="0.25">
      <c r="D511" s="2"/>
      <c r="F511" s="3"/>
      <c r="G511" s="2"/>
      <c r="H511" s="3"/>
    </row>
    <row r="512" spans="4:8" ht="15.75" customHeight="1" x14ac:dyDescent="0.25">
      <c r="D512" s="2"/>
      <c r="F512" s="3"/>
      <c r="G512" s="2"/>
      <c r="H512" s="3"/>
    </row>
    <row r="513" spans="4:8" ht="15.75" customHeight="1" x14ac:dyDescent="0.25">
      <c r="D513" s="2"/>
      <c r="F513" s="3"/>
      <c r="G513" s="2"/>
      <c r="H513" s="3"/>
    </row>
    <row r="514" spans="4:8" ht="15.75" customHeight="1" x14ac:dyDescent="0.25">
      <c r="D514" s="2"/>
      <c r="F514" s="3"/>
      <c r="G514" s="2"/>
      <c r="H514" s="3"/>
    </row>
    <row r="515" spans="4:8" ht="15.75" customHeight="1" x14ac:dyDescent="0.25">
      <c r="D515" s="2"/>
      <c r="F515" s="3"/>
      <c r="G515" s="2"/>
      <c r="H515" s="3"/>
    </row>
    <row r="516" spans="4:8" ht="15.75" customHeight="1" x14ac:dyDescent="0.25">
      <c r="D516" s="2"/>
      <c r="F516" s="3"/>
      <c r="G516" s="2"/>
      <c r="H516" s="3"/>
    </row>
    <row r="517" spans="4:8" ht="15.75" customHeight="1" x14ac:dyDescent="0.25">
      <c r="D517" s="2"/>
      <c r="F517" s="3"/>
      <c r="G517" s="2"/>
      <c r="H517" s="3"/>
    </row>
    <row r="518" spans="4:8" ht="15.75" customHeight="1" x14ac:dyDescent="0.25">
      <c r="D518" s="2"/>
      <c r="F518" s="3"/>
      <c r="G518" s="2"/>
      <c r="H518" s="3"/>
    </row>
    <row r="519" spans="4:8" ht="15.75" customHeight="1" x14ac:dyDescent="0.25">
      <c r="D519" s="2"/>
      <c r="F519" s="3"/>
      <c r="G519" s="2"/>
      <c r="H519" s="3"/>
    </row>
    <row r="520" spans="4:8" ht="15.75" customHeight="1" x14ac:dyDescent="0.25">
      <c r="D520" s="2"/>
      <c r="F520" s="3"/>
      <c r="G520" s="2"/>
      <c r="H520" s="3"/>
    </row>
    <row r="521" spans="4:8" ht="15.75" customHeight="1" x14ac:dyDescent="0.25">
      <c r="D521" s="2"/>
      <c r="F521" s="3"/>
      <c r="G521" s="2"/>
      <c r="H521" s="3"/>
    </row>
    <row r="522" spans="4:8" ht="15.75" customHeight="1" x14ac:dyDescent="0.25">
      <c r="D522" s="2"/>
      <c r="F522" s="3"/>
      <c r="G522" s="2"/>
      <c r="H522" s="3"/>
    </row>
    <row r="523" spans="4:8" ht="15.75" customHeight="1" x14ac:dyDescent="0.25">
      <c r="D523" s="2"/>
      <c r="F523" s="3"/>
      <c r="G523" s="2"/>
      <c r="H523" s="3"/>
    </row>
    <row r="524" spans="4:8" ht="15.75" customHeight="1" x14ac:dyDescent="0.25">
      <c r="D524" s="2"/>
      <c r="F524" s="3"/>
      <c r="G524" s="2"/>
      <c r="H524" s="3"/>
    </row>
    <row r="525" spans="4:8" ht="15.75" customHeight="1" x14ac:dyDescent="0.25">
      <c r="D525" s="2"/>
      <c r="F525" s="3"/>
      <c r="G525" s="2"/>
      <c r="H525" s="3"/>
    </row>
    <row r="526" spans="4:8" ht="15.75" customHeight="1" x14ac:dyDescent="0.25">
      <c r="D526" s="2"/>
      <c r="F526" s="3"/>
      <c r="G526" s="2"/>
      <c r="H526" s="3"/>
    </row>
    <row r="527" spans="4:8" ht="15.75" customHeight="1" x14ac:dyDescent="0.25">
      <c r="D527" s="2"/>
      <c r="F527" s="3"/>
      <c r="G527" s="2"/>
      <c r="H527" s="3"/>
    </row>
    <row r="528" spans="4:8" ht="15.75" customHeight="1" x14ac:dyDescent="0.25">
      <c r="D528" s="2"/>
      <c r="F528" s="3"/>
      <c r="G528" s="2"/>
      <c r="H528" s="3"/>
    </row>
    <row r="529" spans="4:8" ht="15.75" customHeight="1" x14ac:dyDescent="0.25">
      <c r="D529" s="2"/>
      <c r="F529" s="3"/>
      <c r="G529" s="2"/>
      <c r="H529" s="3"/>
    </row>
    <row r="530" spans="4:8" ht="15.75" customHeight="1" x14ac:dyDescent="0.25">
      <c r="D530" s="2"/>
      <c r="F530" s="3"/>
      <c r="G530" s="2"/>
      <c r="H530" s="3"/>
    </row>
    <row r="531" spans="4:8" ht="15.75" customHeight="1" x14ac:dyDescent="0.25">
      <c r="D531" s="2"/>
      <c r="F531" s="3"/>
      <c r="G531" s="2"/>
      <c r="H531" s="3"/>
    </row>
    <row r="532" spans="4:8" ht="15.75" customHeight="1" x14ac:dyDescent="0.25">
      <c r="D532" s="2"/>
      <c r="F532" s="3"/>
      <c r="G532" s="2"/>
      <c r="H532" s="3"/>
    </row>
    <row r="533" spans="4:8" ht="15.75" customHeight="1" x14ac:dyDescent="0.25">
      <c r="D533" s="2"/>
      <c r="F533" s="3"/>
      <c r="G533" s="2"/>
      <c r="H533" s="3"/>
    </row>
    <row r="534" spans="4:8" ht="15.75" customHeight="1" x14ac:dyDescent="0.25">
      <c r="D534" s="2"/>
      <c r="F534" s="3"/>
      <c r="G534" s="2"/>
      <c r="H534" s="3"/>
    </row>
    <row r="535" spans="4:8" ht="15.75" customHeight="1" x14ac:dyDescent="0.25">
      <c r="D535" s="2"/>
      <c r="F535" s="3"/>
      <c r="G535" s="2"/>
      <c r="H535" s="3"/>
    </row>
    <row r="536" spans="4:8" ht="15.75" customHeight="1" x14ac:dyDescent="0.25">
      <c r="D536" s="2"/>
      <c r="F536" s="3"/>
      <c r="G536" s="2"/>
      <c r="H536" s="3"/>
    </row>
    <row r="537" spans="4:8" ht="15.75" customHeight="1" x14ac:dyDescent="0.25">
      <c r="D537" s="2"/>
      <c r="F537" s="3"/>
      <c r="G537" s="2"/>
      <c r="H537" s="3"/>
    </row>
    <row r="538" spans="4:8" ht="15.75" customHeight="1" x14ac:dyDescent="0.25">
      <c r="D538" s="2"/>
      <c r="F538" s="3"/>
      <c r="G538" s="2"/>
      <c r="H538" s="3"/>
    </row>
    <row r="539" spans="4:8" ht="15.75" customHeight="1" x14ac:dyDescent="0.25">
      <c r="D539" s="2"/>
      <c r="F539" s="3"/>
      <c r="G539" s="2"/>
      <c r="H539" s="3"/>
    </row>
    <row r="540" spans="4:8" ht="15.75" customHeight="1" x14ac:dyDescent="0.25">
      <c r="D540" s="2"/>
      <c r="F540" s="3"/>
      <c r="G540" s="2"/>
      <c r="H540" s="3"/>
    </row>
    <row r="541" spans="4:8" ht="15.75" customHeight="1" x14ac:dyDescent="0.25">
      <c r="D541" s="2"/>
      <c r="F541" s="3"/>
      <c r="G541" s="2"/>
      <c r="H541" s="3"/>
    </row>
    <row r="542" spans="4:8" ht="15.75" customHeight="1" x14ac:dyDescent="0.25">
      <c r="D542" s="2"/>
      <c r="F542" s="3"/>
      <c r="G542" s="2"/>
      <c r="H542" s="3"/>
    </row>
    <row r="543" spans="4:8" ht="15.75" customHeight="1" x14ac:dyDescent="0.25">
      <c r="D543" s="2"/>
      <c r="F543" s="3"/>
      <c r="G543" s="2"/>
      <c r="H543" s="3"/>
    </row>
    <row r="544" spans="4:8" ht="15.75" customHeight="1" x14ac:dyDescent="0.25">
      <c r="D544" s="2"/>
      <c r="F544" s="3"/>
      <c r="G544" s="2"/>
      <c r="H544" s="3"/>
    </row>
    <row r="545" spans="4:8" ht="15.75" customHeight="1" x14ac:dyDescent="0.25">
      <c r="D545" s="2"/>
      <c r="F545" s="3"/>
      <c r="G545" s="2"/>
      <c r="H545" s="3"/>
    </row>
    <row r="546" spans="4:8" ht="15.75" customHeight="1" x14ac:dyDescent="0.25">
      <c r="D546" s="2"/>
      <c r="F546" s="3"/>
      <c r="G546" s="2"/>
      <c r="H546" s="3"/>
    </row>
    <row r="547" spans="4:8" ht="15.75" customHeight="1" x14ac:dyDescent="0.25">
      <c r="D547" s="2"/>
      <c r="F547" s="3"/>
      <c r="G547" s="2"/>
      <c r="H547" s="3"/>
    </row>
    <row r="548" spans="4:8" ht="15.75" customHeight="1" x14ac:dyDescent="0.25">
      <c r="D548" s="2"/>
      <c r="F548" s="3"/>
      <c r="G548" s="2"/>
      <c r="H548" s="3"/>
    </row>
    <row r="549" spans="4:8" ht="15.75" customHeight="1" x14ac:dyDescent="0.25">
      <c r="D549" s="2"/>
      <c r="F549" s="3"/>
      <c r="G549" s="2"/>
      <c r="H549" s="3"/>
    </row>
    <row r="550" spans="4:8" ht="15.75" customHeight="1" x14ac:dyDescent="0.25">
      <c r="D550" s="2"/>
      <c r="F550" s="3"/>
      <c r="G550" s="2"/>
      <c r="H550" s="3"/>
    </row>
    <row r="551" spans="4:8" ht="15.75" customHeight="1" x14ac:dyDescent="0.25">
      <c r="D551" s="2"/>
      <c r="F551" s="3"/>
      <c r="G551" s="2"/>
      <c r="H551" s="3"/>
    </row>
    <row r="552" spans="4:8" ht="15.75" customHeight="1" x14ac:dyDescent="0.25">
      <c r="D552" s="2"/>
      <c r="F552" s="3"/>
      <c r="G552" s="2"/>
      <c r="H552" s="3"/>
    </row>
    <row r="553" spans="4:8" ht="15.75" customHeight="1" x14ac:dyDescent="0.25">
      <c r="D553" s="2"/>
      <c r="F553" s="3"/>
      <c r="G553" s="2"/>
      <c r="H553" s="3"/>
    </row>
    <row r="554" spans="4:8" ht="15.75" customHeight="1" x14ac:dyDescent="0.25">
      <c r="D554" s="2"/>
      <c r="F554" s="3"/>
      <c r="G554" s="2"/>
      <c r="H554" s="3"/>
    </row>
    <row r="555" spans="4:8" ht="15.75" customHeight="1" x14ac:dyDescent="0.25">
      <c r="D555" s="2"/>
      <c r="F555" s="3"/>
      <c r="G555" s="2"/>
      <c r="H555" s="3"/>
    </row>
    <row r="556" spans="4:8" ht="15.75" customHeight="1" x14ac:dyDescent="0.25">
      <c r="D556" s="2"/>
      <c r="F556" s="3"/>
      <c r="G556" s="2"/>
      <c r="H556" s="3"/>
    </row>
    <row r="557" spans="4:8" ht="15.75" customHeight="1" x14ac:dyDescent="0.25">
      <c r="D557" s="2"/>
      <c r="F557" s="3"/>
      <c r="G557" s="2"/>
      <c r="H557" s="3"/>
    </row>
    <row r="558" spans="4:8" ht="15.75" customHeight="1" x14ac:dyDescent="0.25">
      <c r="D558" s="2"/>
      <c r="F558" s="3"/>
      <c r="G558" s="2"/>
      <c r="H558" s="3"/>
    </row>
    <row r="559" spans="4:8" ht="15.75" customHeight="1" x14ac:dyDescent="0.25">
      <c r="D559" s="2"/>
      <c r="F559" s="3"/>
      <c r="G559" s="2"/>
      <c r="H559" s="3"/>
    </row>
    <row r="560" spans="4:8" ht="15.75" customHeight="1" x14ac:dyDescent="0.25">
      <c r="D560" s="2"/>
      <c r="F560" s="3"/>
      <c r="G560" s="2"/>
      <c r="H560" s="3"/>
    </row>
    <row r="561" spans="4:8" ht="15.75" customHeight="1" x14ac:dyDescent="0.25">
      <c r="D561" s="2"/>
      <c r="F561" s="3"/>
      <c r="G561" s="2"/>
      <c r="H561" s="3"/>
    </row>
    <row r="562" spans="4:8" ht="15.75" customHeight="1" x14ac:dyDescent="0.25">
      <c r="D562" s="2"/>
      <c r="F562" s="3"/>
      <c r="G562" s="2"/>
      <c r="H562" s="3"/>
    </row>
    <row r="563" spans="4:8" ht="15.75" customHeight="1" x14ac:dyDescent="0.25">
      <c r="D563" s="2"/>
      <c r="F563" s="3"/>
      <c r="G563" s="2"/>
      <c r="H563" s="3"/>
    </row>
    <row r="564" spans="4:8" ht="15.75" customHeight="1" x14ac:dyDescent="0.25">
      <c r="D564" s="2"/>
      <c r="F564" s="3"/>
      <c r="G564" s="2"/>
      <c r="H564" s="3"/>
    </row>
    <row r="565" spans="4:8" ht="15.75" customHeight="1" x14ac:dyDescent="0.25">
      <c r="D565" s="2"/>
      <c r="F565" s="3"/>
      <c r="G565" s="2"/>
      <c r="H565" s="3"/>
    </row>
    <row r="566" spans="4:8" ht="15.75" customHeight="1" x14ac:dyDescent="0.25">
      <c r="D566" s="2"/>
      <c r="F566" s="3"/>
      <c r="G566" s="2"/>
      <c r="H566" s="3"/>
    </row>
    <row r="567" spans="4:8" ht="15.75" customHeight="1" x14ac:dyDescent="0.25">
      <c r="D567" s="2"/>
      <c r="F567" s="3"/>
      <c r="G567" s="2"/>
      <c r="H567" s="3"/>
    </row>
    <row r="568" spans="4:8" ht="15.75" customHeight="1" x14ac:dyDescent="0.25">
      <c r="D568" s="2"/>
      <c r="F568" s="3"/>
      <c r="G568" s="2"/>
      <c r="H568" s="3"/>
    </row>
    <row r="569" spans="4:8" ht="15.75" customHeight="1" x14ac:dyDescent="0.25">
      <c r="D569" s="2"/>
      <c r="F569" s="3"/>
      <c r="G569" s="2"/>
      <c r="H569" s="3"/>
    </row>
    <row r="570" spans="4:8" ht="15.75" customHeight="1" x14ac:dyDescent="0.25">
      <c r="D570" s="2"/>
      <c r="F570" s="3"/>
      <c r="G570" s="2"/>
      <c r="H570" s="3"/>
    </row>
    <row r="571" spans="4:8" ht="15.75" customHeight="1" x14ac:dyDescent="0.25">
      <c r="D571" s="2"/>
      <c r="F571" s="3"/>
      <c r="G571" s="2"/>
      <c r="H571" s="3"/>
    </row>
    <row r="572" spans="4:8" ht="15.75" customHeight="1" x14ac:dyDescent="0.25">
      <c r="D572" s="2"/>
      <c r="F572" s="3"/>
      <c r="G572" s="2"/>
      <c r="H572" s="3"/>
    </row>
    <row r="573" spans="4:8" ht="15.75" customHeight="1" x14ac:dyDescent="0.25">
      <c r="D573" s="2"/>
      <c r="F573" s="3"/>
      <c r="G573" s="2"/>
      <c r="H573" s="3"/>
    </row>
    <row r="574" spans="4:8" ht="15.75" customHeight="1" x14ac:dyDescent="0.25">
      <c r="D574" s="2"/>
      <c r="F574" s="3"/>
      <c r="G574" s="2"/>
      <c r="H574" s="3"/>
    </row>
    <row r="575" spans="4:8" ht="15.75" customHeight="1" x14ac:dyDescent="0.25">
      <c r="D575" s="2"/>
      <c r="F575" s="3"/>
      <c r="G575" s="2"/>
      <c r="H575" s="3"/>
    </row>
    <row r="576" spans="4:8" ht="15.75" customHeight="1" x14ac:dyDescent="0.25">
      <c r="D576" s="2"/>
      <c r="F576" s="3"/>
      <c r="G576" s="2"/>
      <c r="H576" s="3"/>
    </row>
    <row r="577" spans="4:8" ht="15.75" customHeight="1" x14ac:dyDescent="0.25">
      <c r="D577" s="2"/>
      <c r="F577" s="3"/>
      <c r="G577" s="2"/>
      <c r="H577" s="3"/>
    </row>
    <row r="578" spans="4:8" ht="15.75" customHeight="1" x14ac:dyDescent="0.25">
      <c r="D578" s="2"/>
      <c r="F578" s="3"/>
      <c r="G578" s="2"/>
      <c r="H578" s="3"/>
    </row>
    <row r="579" spans="4:8" ht="15.75" customHeight="1" x14ac:dyDescent="0.25">
      <c r="D579" s="2"/>
      <c r="F579" s="3"/>
      <c r="G579" s="2"/>
      <c r="H579" s="3"/>
    </row>
    <row r="580" spans="4:8" ht="15.75" customHeight="1" x14ac:dyDescent="0.25">
      <c r="D580" s="2"/>
      <c r="F580" s="3"/>
      <c r="G580" s="2"/>
      <c r="H580" s="3"/>
    </row>
    <row r="581" spans="4:8" ht="15.75" customHeight="1" x14ac:dyDescent="0.25">
      <c r="D581" s="2"/>
      <c r="F581" s="3"/>
      <c r="G581" s="2"/>
      <c r="H581" s="3"/>
    </row>
    <row r="582" spans="4:8" ht="15.75" customHeight="1" x14ac:dyDescent="0.25">
      <c r="D582" s="2"/>
      <c r="F582" s="3"/>
      <c r="G582" s="2"/>
      <c r="H582" s="3"/>
    </row>
    <row r="583" spans="4:8" ht="15.75" customHeight="1" x14ac:dyDescent="0.25">
      <c r="D583" s="2"/>
      <c r="F583" s="3"/>
      <c r="G583" s="2"/>
      <c r="H583" s="3"/>
    </row>
    <row r="584" spans="4:8" ht="15.75" customHeight="1" x14ac:dyDescent="0.25">
      <c r="D584" s="2"/>
      <c r="F584" s="3"/>
      <c r="G584" s="2"/>
      <c r="H584" s="3"/>
    </row>
    <row r="585" spans="4:8" ht="15.75" customHeight="1" x14ac:dyDescent="0.25">
      <c r="D585" s="2"/>
      <c r="F585" s="3"/>
      <c r="G585" s="2"/>
      <c r="H585" s="3"/>
    </row>
    <row r="586" spans="4:8" ht="15.75" customHeight="1" x14ac:dyDescent="0.25">
      <c r="D586" s="2"/>
      <c r="F586" s="3"/>
      <c r="G586" s="2"/>
      <c r="H586" s="3"/>
    </row>
    <row r="587" spans="4:8" ht="15.75" customHeight="1" x14ac:dyDescent="0.25">
      <c r="D587" s="2"/>
      <c r="F587" s="3"/>
      <c r="G587" s="2"/>
      <c r="H587" s="3"/>
    </row>
    <row r="588" spans="4:8" ht="15.75" customHeight="1" x14ac:dyDescent="0.25">
      <c r="D588" s="2"/>
      <c r="F588" s="3"/>
      <c r="G588" s="2"/>
      <c r="H588" s="3"/>
    </row>
    <row r="589" spans="4:8" ht="15.75" customHeight="1" x14ac:dyDescent="0.25">
      <c r="D589" s="2"/>
      <c r="F589" s="3"/>
      <c r="G589" s="2"/>
      <c r="H589" s="3"/>
    </row>
    <row r="590" spans="4:8" ht="15.75" customHeight="1" x14ac:dyDescent="0.25">
      <c r="D590" s="2"/>
      <c r="F590" s="3"/>
      <c r="G590" s="2"/>
      <c r="H590" s="3"/>
    </row>
    <row r="591" spans="4:8" ht="15.75" customHeight="1" x14ac:dyDescent="0.25">
      <c r="D591" s="2"/>
      <c r="F591" s="3"/>
      <c r="G591" s="2"/>
      <c r="H591" s="3"/>
    </row>
    <row r="592" spans="4:8" ht="15.75" customHeight="1" x14ac:dyDescent="0.25">
      <c r="D592" s="2"/>
      <c r="F592" s="3"/>
      <c r="G592" s="2"/>
      <c r="H592" s="3"/>
    </row>
    <row r="593" spans="4:8" ht="15.75" customHeight="1" x14ac:dyDescent="0.25">
      <c r="D593" s="2"/>
      <c r="F593" s="3"/>
      <c r="G593" s="2"/>
      <c r="H593" s="3"/>
    </row>
    <row r="594" spans="4:8" ht="15.75" customHeight="1" x14ac:dyDescent="0.25">
      <c r="D594" s="2"/>
      <c r="F594" s="3"/>
      <c r="G594" s="2"/>
      <c r="H594" s="3"/>
    </row>
    <row r="595" spans="4:8" ht="15.75" customHeight="1" x14ac:dyDescent="0.25">
      <c r="D595" s="2"/>
      <c r="F595" s="3"/>
      <c r="G595" s="2"/>
      <c r="H595" s="3"/>
    </row>
    <row r="596" spans="4:8" ht="15.75" customHeight="1" x14ac:dyDescent="0.25">
      <c r="D596" s="2"/>
      <c r="F596" s="3"/>
      <c r="G596" s="2"/>
      <c r="H596" s="3"/>
    </row>
    <row r="597" spans="4:8" ht="15.75" customHeight="1" x14ac:dyDescent="0.25">
      <c r="D597" s="2"/>
      <c r="F597" s="3"/>
      <c r="G597" s="2"/>
      <c r="H597" s="3"/>
    </row>
    <row r="598" spans="4:8" ht="15.75" customHeight="1" x14ac:dyDescent="0.25">
      <c r="D598" s="2"/>
      <c r="F598" s="3"/>
      <c r="G598" s="2"/>
      <c r="H598" s="3"/>
    </row>
    <row r="599" spans="4:8" ht="15.75" customHeight="1" x14ac:dyDescent="0.25">
      <c r="D599" s="2"/>
      <c r="F599" s="3"/>
      <c r="G599" s="2"/>
      <c r="H599" s="3"/>
    </row>
    <row r="600" spans="4:8" ht="15.75" customHeight="1" x14ac:dyDescent="0.25">
      <c r="D600" s="2"/>
      <c r="F600" s="3"/>
      <c r="G600" s="2"/>
      <c r="H600" s="3"/>
    </row>
    <row r="601" spans="4:8" ht="15.75" customHeight="1" x14ac:dyDescent="0.25">
      <c r="D601" s="2"/>
      <c r="F601" s="3"/>
      <c r="G601" s="2"/>
      <c r="H601" s="3"/>
    </row>
    <row r="602" spans="4:8" ht="15.75" customHeight="1" x14ac:dyDescent="0.25">
      <c r="D602" s="2"/>
      <c r="F602" s="3"/>
      <c r="G602" s="2"/>
      <c r="H602" s="3"/>
    </row>
    <row r="603" spans="4:8" ht="15.75" customHeight="1" x14ac:dyDescent="0.25">
      <c r="D603" s="2"/>
      <c r="F603" s="3"/>
      <c r="G603" s="2"/>
      <c r="H603" s="3"/>
    </row>
    <row r="604" spans="4:8" ht="15.75" customHeight="1" x14ac:dyDescent="0.25">
      <c r="D604" s="2"/>
      <c r="F604" s="3"/>
      <c r="G604" s="2"/>
      <c r="H604" s="3"/>
    </row>
    <row r="605" spans="4:8" ht="15.75" customHeight="1" x14ac:dyDescent="0.25">
      <c r="D605" s="2"/>
      <c r="F605" s="3"/>
      <c r="G605" s="2"/>
      <c r="H605" s="3"/>
    </row>
    <row r="606" spans="4:8" ht="15.75" customHeight="1" x14ac:dyDescent="0.25">
      <c r="D606" s="2"/>
      <c r="F606" s="3"/>
      <c r="G606" s="2"/>
      <c r="H606" s="3"/>
    </row>
    <row r="607" spans="4:8" ht="15.75" customHeight="1" x14ac:dyDescent="0.25">
      <c r="D607" s="2"/>
      <c r="F607" s="3"/>
      <c r="G607" s="2"/>
      <c r="H607" s="3"/>
    </row>
    <row r="608" spans="4:8" ht="15.75" customHeight="1" x14ac:dyDescent="0.25">
      <c r="D608" s="2"/>
      <c r="F608" s="3"/>
      <c r="G608" s="2"/>
      <c r="H608" s="3"/>
    </row>
    <row r="609" spans="4:8" ht="15.75" customHeight="1" x14ac:dyDescent="0.25">
      <c r="D609" s="2"/>
      <c r="F609" s="3"/>
      <c r="G609" s="2"/>
      <c r="H609" s="3"/>
    </row>
    <row r="610" spans="4:8" ht="15.75" customHeight="1" x14ac:dyDescent="0.25">
      <c r="D610" s="2"/>
      <c r="F610" s="3"/>
      <c r="G610" s="2"/>
      <c r="H610" s="3"/>
    </row>
    <row r="611" spans="4:8" ht="15.75" customHeight="1" x14ac:dyDescent="0.25">
      <c r="D611" s="2"/>
      <c r="F611" s="3"/>
      <c r="G611" s="2"/>
      <c r="H611" s="3"/>
    </row>
    <row r="612" spans="4:8" ht="15.75" customHeight="1" x14ac:dyDescent="0.25">
      <c r="D612" s="2"/>
      <c r="F612" s="3"/>
      <c r="G612" s="2"/>
      <c r="H612" s="3"/>
    </row>
    <row r="613" spans="4:8" ht="15.75" customHeight="1" x14ac:dyDescent="0.25">
      <c r="D613" s="2"/>
      <c r="F613" s="3"/>
      <c r="G613" s="2"/>
      <c r="H613" s="3"/>
    </row>
    <row r="614" spans="4:8" ht="15.75" customHeight="1" x14ac:dyDescent="0.25">
      <c r="D614" s="2"/>
      <c r="F614" s="3"/>
      <c r="G614" s="2"/>
      <c r="H614" s="3"/>
    </row>
    <row r="615" spans="4:8" ht="15.75" customHeight="1" x14ac:dyDescent="0.25">
      <c r="D615" s="2"/>
      <c r="F615" s="3"/>
      <c r="G615" s="2"/>
      <c r="H615" s="3"/>
    </row>
    <row r="616" spans="4:8" ht="15.75" customHeight="1" x14ac:dyDescent="0.25">
      <c r="D616" s="2"/>
      <c r="F616" s="3"/>
      <c r="G616" s="2"/>
      <c r="H616" s="3"/>
    </row>
    <row r="617" spans="4:8" ht="15.75" customHeight="1" x14ac:dyDescent="0.25">
      <c r="D617" s="2"/>
      <c r="F617" s="3"/>
      <c r="G617" s="2"/>
      <c r="H617" s="3"/>
    </row>
    <row r="618" spans="4:8" ht="15.75" customHeight="1" x14ac:dyDescent="0.25">
      <c r="D618" s="2"/>
      <c r="F618" s="3"/>
      <c r="G618" s="2"/>
      <c r="H618" s="3"/>
    </row>
    <row r="619" spans="4:8" ht="15.75" customHeight="1" x14ac:dyDescent="0.25">
      <c r="D619" s="2"/>
      <c r="F619" s="3"/>
      <c r="G619" s="2"/>
      <c r="H619" s="3"/>
    </row>
    <row r="620" spans="4:8" ht="15.75" customHeight="1" x14ac:dyDescent="0.25">
      <c r="D620" s="2"/>
      <c r="F620" s="3"/>
      <c r="G620" s="2"/>
      <c r="H620" s="3"/>
    </row>
    <row r="621" spans="4:8" ht="15.75" customHeight="1" x14ac:dyDescent="0.25">
      <c r="D621" s="2"/>
      <c r="F621" s="3"/>
      <c r="G621" s="2"/>
      <c r="H621" s="3"/>
    </row>
    <row r="622" spans="4:8" ht="15.75" customHeight="1" x14ac:dyDescent="0.25">
      <c r="D622" s="2"/>
      <c r="F622" s="3"/>
      <c r="G622" s="2"/>
      <c r="H622" s="3"/>
    </row>
    <row r="623" spans="4:8" ht="15.75" customHeight="1" x14ac:dyDescent="0.25">
      <c r="D623" s="2"/>
      <c r="F623" s="3"/>
      <c r="G623" s="2"/>
      <c r="H623" s="3"/>
    </row>
    <row r="624" spans="4:8" ht="15.75" customHeight="1" x14ac:dyDescent="0.25">
      <c r="D624" s="2"/>
      <c r="F624" s="3"/>
      <c r="G624" s="2"/>
      <c r="H624" s="3"/>
    </row>
    <row r="625" spans="4:8" ht="15.75" customHeight="1" x14ac:dyDescent="0.25">
      <c r="D625" s="2"/>
      <c r="F625" s="3"/>
      <c r="G625" s="2"/>
      <c r="H625" s="3"/>
    </row>
    <row r="626" spans="4:8" ht="15.75" customHeight="1" x14ac:dyDescent="0.25">
      <c r="D626" s="2"/>
      <c r="F626" s="3"/>
      <c r="G626" s="2"/>
      <c r="H626" s="3"/>
    </row>
    <row r="627" spans="4:8" ht="15.75" customHeight="1" x14ac:dyDescent="0.25">
      <c r="D627" s="2"/>
      <c r="F627" s="3"/>
      <c r="G627" s="2"/>
      <c r="H627" s="3"/>
    </row>
    <row r="628" spans="4:8" ht="15.75" customHeight="1" x14ac:dyDescent="0.25">
      <c r="D628" s="2"/>
      <c r="F628" s="3"/>
      <c r="G628" s="2"/>
      <c r="H628" s="3"/>
    </row>
    <row r="629" spans="4:8" ht="15.75" customHeight="1" x14ac:dyDescent="0.25">
      <c r="D629" s="2"/>
      <c r="F629" s="3"/>
      <c r="G629" s="2"/>
      <c r="H629" s="3"/>
    </row>
    <row r="630" spans="4:8" ht="15.75" customHeight="1" x14ac:dyDescent="0.25">
      <c r="D630" s="2"/>
      <c r="F630" s="3"/>
      <c r="G630" s="2"/>
      <c r="H630" s="3"/>
    </row>
    <row r="631" spans="4:8" ht="15.75" customHeight="1" x14ac:dyDescent="0.25">
      <c r="D631" s="2"/>
      <c r="F631" s="3"/>
      <c r="G631" s="2"/>
      <c r="H631" s="3"/>
    </row>
    <row r="632" spans="4:8" ht="15.75" customHeight="1" x14ac:dyDescent="0.25">
      <c r="D632" s="2"/>
      <c r="F632" s="3"/>
      <c r="G632" s="2"/>
      <c r="H632" s="3"/>
    </row>
    <row r="633" spans="4:8" ht="15.75" customHeight="1" x14ac:dyDescent="0.25">
      <c r="D633" s="2"/>
      <c r="F633" s="3"/>
      <c r="G633" s="2"/>
      <c r="H633" s="3"/>
    </row>
    <row r="634" spans="4:8" ht="15.75" customHeight="1" x14ac:dyDescent="0.25">
      <c r="D634" s="2"/>
      <c r="F634" s="3"/>
      <c r="G634" s="2"/>
      <c r="H634" s="3"/>
    </row>
    <row r="635" spans="4:8" ht="15.75" customHeight="1" x14ac:dyDescent="0.25">
      <c r="D635" s="2"/>
      <c r="F635" s="3"/>
      <c r="G635" s="2"/>
      <c r="H635" s="3"/>
    </row>
    <row r="636" spans="4:8" ht="15.75" customHeight="1" x14ac:dyDescent="0.25">
      <c r="D636" s="2"/>
      <c r="F636" s="3"/>
      <c r="G636" s="2"/>
      <c r="H636" s="3"/>
    </row>
    <row r="637" spans="4:8" ht="15.75" customHeight="1" x14ac:dyDescent="0.25">
      <c r="D637" s="2"/>
      <c r="F637" s="3"/>
      <c r="G637" s="2"/>
      <c r="H637" s="3"/>
    </row>
    <row r="638" spans="4:8" ht="15.75" customHeight="1" x14ac:dyDescent="0.25">
      <c r="D638" s="2"/>
      <c r="F638" s="3"/>
      <c r="G638" s="2"/>
      <c r="H638" s="3"/>
    </row>
    <row r="639" spans="4:8" ht="15.75" customHeight="1" x14ac:dyDescent="0.25">
      <c r="D639" s="2"/>
      <c r="F639" s="3"/>
      <c r="G639" s="2"/>
      <c r="H639" s="3"/>
    </row>
    <row r="640" spans="4:8" ht="15.75" customHeight="1" x14ac:dyDescent="0.25">
      <c r="D640" s="2"/>
      <c r="F640" s="3"/>
      <c r="G640" s="2"/>
      <c r="H640" s="3"/>
    </row>
    <row r="641" spans="4:8" ht="15.75" customHeight="1" x14ac:dyDescent="0.25">
      <c r="D641" s="2"/>
      <c r="F641" s="3"/>
      <c r="G641" s="2"/>
      <c r="H641" s="3"/>
    </row>
    <row r="642" spans="4:8" ht="15.75" customHeight="1" x14ac:dyDescent="0.25">
      <c r="D642" s="2"/>
      <c r="F642" s="3"/>
      <c r="G642" s="2"/>
      <c r="H642" s="3"/>
    </row>
    <row r="643" spans="4:8" ht="15.75" customHeight="1" x14ac:dyDescent="0.25">
      <c r="D643" s="2"/>
      <c r="F643" s="3"/>
      <c r="G643" s="2"/>
      <c r="H643" s="3"/>
    </row>
    <row r="644" spans="4:8" ht="15.75" customHeight="1" x14ac:dyDescent="0.25">
      <c r="D644" s="2"/>
      <c r="F644" s="3"/>
      <c r="G644" s="2"/>
      <c r="H644" s="3"/>
    </row>
    <row r="645" spans="4:8" ht="15.75" customHeight="1" x14ac:dyDescent="0.25">
      <c r="D645" s="2"/>
      <c r="F645" s="3"/>
      <c r="G645" s="2"/>
      <c r="H645" s="3"/>
    </row>
    <row r="646" spans="4:8" ht="15.75" customHeight="1" x14ac:dyDescent="0.25">
      <c r="D646" s="2"/>
      <c r="F646" s="3"/>
      <c r="G646" s="2"/>
      <c r="H646" s="3"/>
    </row>
    <row r="647" spans="4:8" ht="15.75" customHeight="1" x14ac:dyDescent="0.25">
      <c r="D647" s="2"/>
      <c r="F647" s="3"/>
      <c r="G647" s="2"/>
      <c r="H647" s="3"/>
    </row>
    <row r="648" spans="4:8" ht="15.75" customHeight="1" x14ac:dyDescent="0.25">
      <c r="D648" s="2"/>
      <c r="F648" s="3"/>
      <c r="G648" s="2"/>
      <c r="H648" s="3"/>
    </row>
    <row r="649" spans="4:8" ht="15.75" customHeight="1" x14ac:dyDescent="0.25">
      <c r="D649" s="2"/>
      <c r="F649" s="3"/>
      <c r="G649" s="2"/>
      <c r="H649" s="3"/>
    </row>
    <row r="650" spans="4:8" ht="15.75" customHeight="1" x14ac:dyDescent="0.25">
      <c r="D650" s="2"/>
      <c r="F650" s="3"/>
      <c r="G650" s="2"/>
      <c r="H650" s="3"/>
    </row>
    <row r="651" spans="4:8" ht="15.75" customHeight="1" x14ac:dyDescent="0.25">
      <c r="D651" s="2"/>
      <c r="F651" s="3"/>
      <c r="G651" s="2"/>
      <c r="H651" s="3"/>
    </row>
    <row r="652" spans="4:8" ht="15.75" customHeight="1" x14ac:dyDescent="0.25">
      <c r="D652" s="2"/>
      <c r="F652" s="3"/>
      <c r="G652" s="2"/>
      <c r="H652" s="3"/>
    </row>
    <row r="653" spans="4:8" ht="15.75" customHeight="1" x14ac:dyDescent="0.25">
      <c r="D653" s="2"/>
      <c r="F653" s="3"/>
      <c r="G653" s="2"/>
      <c r="H653" s="3"/>
    </row>
    <row r="654" spans="4:8" ht="15.75" customHeight="1" x14ac:dyDescent="0.25">
      <c r="D654" s="2"/>
      <c r="F654" s="3"/>
      <c r="G654" s="2"/>
      <c r="H654" s="3"/>
    </row>
    <row r="655" spans="4:8" ht="15.75" customHeight="1" x14ac:dyDescent="0.25">
      <c r="D655" s="2"/>
      <c r="F655" s="3"/>
      <c r="G655" s="2"/>
      <c r="H655" s="3"/>
    </row>
    <row r="656" spans="4:8" ht="15.75" customHeight="1" x14ac:dyDescent="0.25">
      <c r="D656" s="2"/>
      <c r="F656" s="3"/>
      <c r="G656" s="2"/>
      <c r="H656" s="3"/>
    </row>
    <row r="657" spans="4:8" ht="15.75" customHeight="1" x14ac:dyDescent="0.25">
      <c r="D657" s="2"/>
      <c r="F657" s="3"/>
      <c r="G657" s="2"/>
      <c r="H657" s="3"/>
    </row>
    <row r="658" spans="4:8" ht="15.75" customHeight="1" x14ac:dyDescent="0.25">
      <c r="D658" s="2"/>
      <c r="F658" s="3"/>
      <c r="G658" s="2"/>
      <c r="H658" s="3"/>
    </row>
    <row r="659" spans="4:8" ht="15.75" customHeight="1" x14ac:dyDescent="0.25">
      <c r="D659" s="2"/>
      <c r="F659" s="3"/>
      <c r="G659" s="2"/>
      <c r="H659" s="3"/>
    </row>
    <row r="660" spans="4:8" ht="15.75" customHeight="1" x14ac:dyDescent="0.25">
      <c r="D660" s="2"/>
      <c r="F660" s="3"/>
      <c r="G660" s="2"/>
      <c r="H660" s="3"/>
    </row>
    <row r="661" spans="4:8" ht="15.75" customHeight="1" x14ac:dyDescent="0.25">
      <c r="D661" s="2"/>
      <c r="F661" s="3"/>
      <c r="G661" s="2"/>
      <c r="H661" s="3"/>
    </row>
    <row r="662" spans="4:8" ht="15.75" customHeight="1" x14ac:dyDescent="0.25">
      <c r="D662" s="2"/>
      <c r="F662" s="3"/>
      <c r="G662" s="2"/>
      <c r="H662" s="3"/>
    </row>
    <row r="663" spans="4:8" ht="15.75" customHeight="1" x14ac:dyDescent="0.25">
      <c r="D663" s="2"/>
      <c r="F663" s="3"/>
      <c r="G663" s="2"/>
      <c r="H663" s="3"/>
    </row>
    <row r="664" spans="4:8" ht="15.75" customHeight="1" x14ac:dyDescent="0.25">
      <c r="D664" s="2"/>
      <c r="F664" s="3"/>
      <c r="G664" s="2"/>
      <c r="H664" s="3"/>
    </row>
    <row r="665" spans="4:8" ht="15.75" customHeight="1" x14ac:dyDescent="0.25">
      <c r="D665" s="2"/>
      <c r="F665" s="3"/>
      <c r="G665" s="2"/>
      <c r="H665" s="3"/>
    </row>
    <row r="666" spans="4:8" ht="15.75" customHeight="1" x14ac:dyDescent="0.25">
      <c r="D666" s="2"/>
      <c r="F666" s="3"/>
      <c r="G666" s="2"/>
      <c r="H666" s="3"/>
    </row>
    <row r="667" spans="4:8" ht="15.75" customHeight="1" x14ac:dyDescent="0.25">
      <c r="D667" s="2"/>
      <c r="F667" s="3"/>
      <c r="G667" s="2"/>
      <c r="H667" s="3"/>
    </row>
    <row r="668" spans="4:8" ht="15.75" customHeight="1" x14ac:dyDescent="0.25">
      <c r="D668" s="2"/>
      <c r="F668" s="3"/>
      <c r="G668" s="2"/>
      <c r="H668" s="3"/>
    </row>
    <row r="669" spans="4:8" ht="15.75" customHeight="1" x14ac:dyDescent="0.25">
      <c r="D669" s="2"/>
      <c r="F669" s="3"/>
      <c r="G669" s="2"/>
      <c r="H669" s="3"/>
    </row>
    <row r="670" spans="4:8" ht="15.75" customHeight="1" x14ac:dyDescent="0.25">
      <c r="D670" s="2"/>
      <c r="F670" s="3"/>
      <c r="G670" s="2"/>
      <c r="H670" s="3"/>
    </row>
    <row r="671" spans="4:8" ht="15.75" customHeight="1" x14ac:dyDescent="0.25">
      <c r="D671" s="2"/>
      <c r="F671" s="3"/>
      <c r="G671" s="2"/>
      <c r="H671" s="3"/>
    </row>
    <row r="672" spans="4:8" ht="15.75" customHeight="1" x14ac:dyDescent="0.25">
      <c r="D672" s="2"/>
      <c r="F672" s="3"/>
      <c r="G672" s="2"/>
      <c r="H672" s="3"/>
    </row>
    <row r="673" spans="4:8" ht="15.75" customHeight="1" x14ac:dyDescent="0.25">
      <c r="D673" s="2"/>
      <c r="F673" s="3"/>
      <c r="G673" s="2"/>
      <c r="H673" s="3"/>
    </row>
    <row r="674" spans="4:8" ht="15.75" customHeight="1" x14ac:dyDescent="0.25">
      <c r="D674" s="2"/>
      <c r="F674" s="3"/>
      <c r="G674" s="2"/>
      <c r="H674" s="3"/>
    </row>
    <row r="675" spans="4:8" ht="15.75" customHeight="1" x14ac:dyDescent="0.25">
      <c r="D675" s="2"/>
      <c r="F675" s="3"/>
      <c r="G675" s="2"/>
      <c r="H675" s="3"/>
    </row>
    <row r="676" spans="4:8" ht="15.75" customHeight="1" x14ac:dyDescent="0.25">
      <c r="D676" s="2"/>
      <c r="F676" s="3"/>
      <c r="G676" s="2"/>
      <c r="H676" s="3"/>
    </row>
    <row r="677" spans="4:8" ht="15.75" customHeight="1" x14ac:dyDescent="0.25">
      <c r="D677" s="2"/>
      <c r="F677" s="3"/>
      <c r="G677" s="2"/>
      <c r="H677" s="3"/>
    </row>
    <row r="678" spans="4:8" ht="15.75" customHeight="1" x14ac:dyDescent="0.25">
      <c r="D678" s="2"/>
      <c r="F678" s="3"/>
      <c r="G678" s="2"/>
      <c r="H678" s="3"/>
    </row>
    <row r="679" spans="4:8" ht="15.75" customHeight="1" x14ac:dyDescent="0.25">
      <c r="D679" s="2"/>
      <c r="F679" s="3"/>
      <c r="G679" s="2"/>
      <c r="H679" s="3"/>
    </row>
    <row r="680" spans="4:8" ht="15.75" customHeight="1" x14ac:dyDescent="0.25">
      <c r="D680" s="2"/>
      <c r="F680" s="3"/>
      <c r="G680" s="2"/>
      <c r="H680" s="3"/>
    </row>
    <row r="681" spans="4:8" ht="15.75" customHeight="1" x14ac:dyDescent="0.25">
      <c r="D681" s="2"/>
      <c r="F681" s="3"/>
      <c r="G681" s="2"/>
      <c r="H681" s="3"/>
    </row>
    <row r="682" spans="4:8" ht="15.75" customHeight="1" x14ac:dyDescent="0.25">
      <c r="D682" s="2"/>
      <c r="F682" s="3"/>
      <c r="G682" s="2"/>
      <c r="H682" s="3"/>
    </row>
    <row r="683" spans="4:8" ht="15.75" customHeight="1" x14ac:dyDescent="0.25">
      <c r="D683" s="2"/>
      <c r="F683" s="3"/>
      <c r="G683" s="2"/>
      <c r="H683" s="3"/>
    </row>
    <row r="684" spans="4:8" ht="15.75" customHeight="1" x14ac:dyDescent="0.25">
      <c r="D684" s="2"/>
      <c r="F684" s="3"/>
      <c r="G684" s="2"/>
      <c r="H684" s="3"/>
    </row>
    <row r="685" spans="4:8" ht="15.75" customHeight="1" x14ac:dyDescent="0.25">
      <c r="D685" s="2"/>
      <c r="F685" s="3"/>
      <c r="G685" s="2"/>
      <c r="H685" s="3"/>
    </row>
    <row r="686" spans="4:8" ht="15.75" customHeight="1" x14ac:dyDescent="0.25">
      <c r="D686" s="2"/>
      <c r="F686" s="3"/>
      <c r="G686" s="2"/>
      <c r="H686" s="3"/>
    </row>
    <row r="687" spans="4:8" ht="15.75" customHeight="1" x14ac:dyDescent="0.25">
      <c r="D687" s="2"/>
      <c r="F687" s="3"/>
      <c r="G687" s="2"/>
      <c r="H687" s="3"/>
    </row>
    <row r="688" spans="4:8" ht="15.75" customHeight="1" x14ac:dyDescent="0.25">
      <c r="D688" s="2"/>
      <c r="F688" s="3"/>
      <c r="G688" s="2"/>
      <c r="H688" s="3"/>
    </row>
    <row r="689" spans="4:8" ht="15.75" customHeight="1" x14ac:dyDescent="0.25">
      <c r="D689" s="2"/>
      <c r="F689" s="3"/>
      <c r="G689" s="2"/>
      <c r="H689" s="3"/>
    </row>
    <row r="690" spans="4:8" ht="15.75" customHeight="1" x14ac:dyDescent="0.25">
      <c r="D690" s="2"/>
      <c r="F690" s="3"/>
      <c r="G690" s="2"/>
      <c r="H690" s="3"/>
    </row>
    <row r="691" spans="4:8" ht="15.75" customHeight="1" x14ac:dyDescent="0.25">
      <c r="D691" s="2"/>
      <c r="F691" s="3"/>
      <c r="G691" s="2"/>
      <c r="H691" s="3"/>
    </row>
    <row r="692" spans="4:8" ht="15.75" customHeight="1" x14ac:dyDescent="0.25">
      <c r="D692" s="2"/>
      <c r="F692" s="3"/>
      <c r="G692" s="2"/>
      <c r="H692" s="3"/>
    </row>
    <row r="693" spans="4:8" ht="15.75" customHeight="1" x14ac:dyDescent="0.25">
      <c r="D693" s="2"/>
      <c r="F693" s="3"/>
      <c r="G693" s="2"/>
      <c r="H693" s="3"/>
    </row>
    <row r="694" spans="4:8" ht="15.75" customHeight="1" x14ac:dyDescent="0.25">
      <c r="D694" s="2"/>
      <c r="F694" s="3"/>
      <c r="G694" s="2"/>
      <c r="H694" s="3"/>
    </row>
    <row r="695" spans="4:8" ht="15.75" customHeight="1" x14ac:dyDescent="0.25">
      <c r="D695" s="2"/>
      <c r="F695" s="3"/>
      <c r="G695" s="2"/>
      <c r="H695" s="3"/>
    </row>
    <row r="696" spans="4:8" ht="15.75" customHeight="1" x14ac:dyDescent="0.25">
      <c r="D696" s="2"/>
      <c r="F696" s="3"/>
      <c r="G696" s="2"/>
      <c r="H696" s="3"/>
    </row>
    <row r="697" spans="4:8" ht="15.75" customHeight="1" x14ac:dyDescent="0.25">
      <c r="D697" s="2"/>
      <c r="F697" s="3"/>
      <c r="G697" s="2"/>
      <c r="H697" s="3"/>
    </row>
    <row r="698" spans="4:8" ht="15.75" customHeight="1" x14ac:dyDescent="0.25">
      <c r="D698" s="2"/>
      <c r="F698" s="3"/>
      <c r="G698" s="2"/>
      <c r="H698" s="3"/>
    </row>
    <row r="699" spans="4:8" ht="15.75" customHeight="1" x14ac:dyDescent="0.25">
      <c r="D699" s="2"/>
      <c r="F699" s="3"/>
      <c r="G699" s="2"/>
      <c r="H699" s="3"/>
    </row>
    <row r="700" spans="4:8" ht="15.75" customHeight="1" x14ac:dyDescent="0.25">
      <c r="D700" s="2"/>
      <c r="F700" s="3"/>
      <c r="G700" s="2"/>
      <c r="H700" s="3"/>
    </row>
    <row r="701" spans="4:8" ht="15.75" customHeight="1" x14ac:dyDescent="0.25">
      <c r="D701" s="2"/>
      <c r="F701" s="3"/>
      <c r="G701" s="2"/>
      <c r="H701" s="3"/>
    </row>
    <row r="702" spans="4:8" ht="15.75" customHeight="1" x14ac:dyDescent="0.25">
      <c r="D702" s="2"/>
      <c r="F702" s="3"/>
      <c r="G702" s="2"/>
      <c r="H702" s="3"/>
    </row>
    <row r="703" spans="4:8" ht="15.75" customHeight="1" x14ac:dyDescent="0.25">
      <c r="D703" s="2"/>
      <c r="F703" s="3"/>
      <c r="G703" s="2"/>
      <c r="H703" s="3"/>
    </row>
    <row r="704" spans="4:8" ht="15.75" customHeight="1" x14ac:dyDescent="0.25">
      <c r="D704" s="2"/>
      <c r="F704" s="3"/>
      <c r="G704" s="2"/>
      <c r="H704" s="3"/>
    </row>
    <row r="705" spans="4:8" ht="15.75" customHeight="1" x14ac:dyDescent="0.25">
      <c r="D705" s="2"/>
      <c r="F705" s="3"/>
      <c r="G705" s="2"/>
      <c r="H705" s="3"/>
    </row>
    <row r="706" spans="4:8" ht="15.75" customHeight="1" x14ac:dyDescent="0.25">
      <c r="D706" s="2"/>
      <c r="F706" s="3"/>
      <c r="G706" s="2"/>
      <c r="H706" s="3"/>
    </row>
    <row r="707" spans="4:8" ht="15.75" customHeight="1" x14ac:dyDescent="0.25">
      <c r="D707" s="2"/>
      <c r="F707" s="3"/>
      <c r="G707" s="2"/>
      <c r="H707" s="3"/>
    </row>
    <row r="708" spans="4:8" ht="15.75" customHeight="1" x14ac:dyDescent="0.25">
      <c r="D708" s="2"/>
      <c r="F708" s="3"/>
      <c r="G708" s="2"/>
      <c r="H708" s="3"/>
    </row>
    <row r="709" spans="4:8" ht="15.75" customHeight="1" x14ac:dyDescent="0.25">
      <c r="D709" s="2"/>
      <c r="F709" s="3"/>
      <c r="G709" s="2"/>
      <c r="H709" s="3"/>
    </row>
    <row r="710" spans="4:8" ht="15.75" customHeight="1" x14ac:dyDescent="0.25">
      <c r="D710" s="2"/>
      <c r="F710" s="3"/>
      <c r="G710" s="2"/>
      <c r="H710" s="3"/>
    </row>
    <row r="711" spans="4:8" ht="15.75" customHeight="1" x14ac:dyDescent="0.25">
      <c r="D711" s="2"/>
      <c r="F711" s="3"/>
      <c r="G711" s="2"/>
      <c r="H711" s="3"/>
    </row>
    <row r="712" spans="4:8" ht="15.75" customHeight="1" x14ac:dyDescent="0.25">
      <c r="D712" s="2"/>
      <c r="F712" s="3"/>
      <c r="G712" s="2"/>
      <c r="H712" s="3"/>
    </row>
    <row r="713" spans="4:8" ht="15.75" customHeight="1" x14ac:dyDescent="0.25">
      <c r="D713" s="2"/>
      <c r="F713" s="3"/>
      <c r="G713" s="2"/>
      <c r="H713" s="3"/>
    </row>
    <row r="714" spans="4:8" ht="15.75" customHeight="1" x14ac:dyDescent="0.25">
      <c r="D714" s="2"/>
      <c r="F714" s="3"/>
      <c r="G714" s="2"/>
      <c r="H714" s="3"/>
    </row>
    <row r="715" spans="4:8" ht="15.75" customHeight="1" x14ac:dyDescent="0.25">
      <c r="D715" s="2"/>
      <c r="F715" s="3"/>
      <c r="G715" s="2"/>
      <c r="H715" s="3"/>
    </row>
    <row r="716" spans="4:8" ht="15.75" customHeight="1" x14ac:dyDescent="0.25">
      <c r="D716" s="2"/>
      <c r="F716" s="3"/>
      <c r="G716" s="2"/>
      <c r="H716" s="3"/>
    </row>
    <row r="717" spans="4:8" ht="15.75" customHeight="1" x14ac:dyDescent="0.25">
      <c r="D717" s="2"/>
      <c r="F717" s="3"/>
      <c r="G717" s="2"/>
      <c r="H717" s="3"/>
    </row>
    <row r="718" spans="4:8" ht="15.75" customHeight="1" x14ac:dyDescent="0.25">
      <c r="D718" s="2"/>
      <c r="F718" s="3"/>
      <c r="G718" s="2"/>
      <c r="H718" s="3"/>
    </row>
    <row r="719" spans="4:8" ht="15.75" customHeight="1" x14ac:dyDescent="0.25">
      <c r="D719" s="2"/>
      <c r="F719" s="3"/>
      <c r="G719" s="2"/>
      <c r="H719" s="3"/>
    </row>
    <row r="720" spans="4:8" ht="15.75" customHeight="1" x14ac:dyDescent="0.25">
      <c r="D720" s="2"/>
      <c r="F720" s="3"/>
      <c r="G720" s="2"/>
      <c r="H720" s="3"/>
    </row>
    <row r="721" spans="4:8" ht="15.75" customHeight="1" x14ac:dyDescent="0.25">
      <c r="D721" s="2"/>
      <c r="F721" s="3"/>
      <c r="G721" s="2"/>
      <c r="H721" s="3"/>
    </row>
    <row r="722" spans="4:8" ht="15.75" customHeight="1" x14ac:dyDescent="0.25">
      <c r="D722" s="2"/>
      <c r="F722" s="3"/>
      <c r="G722" s="2"/>
      <c r="H722" s="3"/>
    </row>
    <row r="723" spans="4:8" ht="15.75" customHeight="1" x14ac:dyDescent="0.25">
      <c r="D723" s="2"/>
      <c r="F723" s="3"/>
      <c r="G723" s="2"/>
      <c r="H723" s="3"/>
    </row>
    <row r="724" spans="4:8" ht="15.75" customHeight="1" x14ac:dyDescent="0.25">
      <c r="D724" s="2"/>
      <c r="F724" s="3"/>
      <c r="G724" s="2"/>
      <c r="H724" s="3"/>
    </row>
    <row r="725" spans="4:8" ht="15.75" customHeight="1" x14ac:dyDescent="0.25">
      <c r="D725" s="2"/>
      <c r="F725" s="3"/>
      <c r="G725" s="2"/>
      <c r="H725" s="3"/>
    </row>
    <row r="726" spans="4:8" ht="15.75" customHeight="1" x14ac:dyDescent="0.25">
      <c r="D726" s="2"/>
      <c r="F726" s="3"/>
      <c r="G726" s="2"/>
      <c r="H726" s="3"/>
    </row>
    <row r="727" spans="4:8" ht="15.75" customHeight="1" x14ac:dyDescent="0.25">
      <c r="D727" s="2"/>
      <c r="F727" s="3"/>
      <c r="G727" s="2"/>
      <c r="H727" s="3"/>
    </row>
    <row r="728" spans="4:8" ht="15.75" customHeight="1" x14ac:dyDescent="0.25">
      <c r="D728" s="2"/>
      <c r="F728" s="3"/>
      <c r="G728" s="2"/>
      <c r="H728" s="3"/>
    </row>
    <row r="729" spans="4:8" ht="15.75" customHeight="1" x14ac:dyDescent="0.25">
      <c r="D729" s="2"/>
      <c r="F729" s="3"/>
      <c r="G729" s="2"/>
      <c r="H729" s="3"/>
    </row>
    <row r="730" spans="4:8" ht="15.75" customHeight="1" x14ac:dyDescent="0.25">
      <c r="D730" s="2"/>
      <c r="F730" s="3"/>
      <c r="G730" s="2"/>
      <c r="H730" s="3"/>
    </row>
    <row r="731" spans="4:8" ht="15.75" customHeight="1" x14ac:dyDescent="0.25">
      <c r="D731" s="2"/>
      <c r="F731" s="3"/>
      <c r="G731" s="2"/>
      <c r="H731" s="3"/>
    </row>
    <row r="732" spans="4:8" ht="15.75" customHeight="1" x14ac:dyDescent="0.25">
      <c r="D732" s="2"/>
      <c r="F732" s="3"/>
      <c r="G732" s="2"/>
      <c r="H732" s="3"/>
    </row>
    <row r="733" spans="4:8" ht="15.75" customHeight="1" x14ac:dyDescent="0.25">
      <c r="D733" s="2"/>
      <c r="F733" s="3"/>
      <c r="G733" s="2"/>
      <c r="H733" s="3"/>
    </row>
    <row r="734" spans="4:8" ht="15.75" customHeight="1" x14ac:dyDescent="0.25">
      <c r="D734" s="2"/>
      <c r="F734" s="3"/>
      <c r="G734" s="2"/>
      <c r="H734" s="3"/>
    </row>
    <row r="735" spans="4:8" ht="15.75" customHeight="1" x14ac:dyDescent="0.25">
      <c r="D735" s="2"/>
      <c r="F735" s="3"/>
      <c r="G735" s="2"/>
      <c r="H735" s="3"/>
    </row>
    <row r="736" spans="4:8" ht="15.75" customHeight="1" x14ac:dyDescent="0.25">
      <c r="D736" s="2"/>
      <c r="F736" s="3"/>
      <c r="G736" s="2"/>
      <c r="H736" s="3"/>
    </row>
    <row r="737" spans="4:8" ht="15.75" customHeight="1" x14ac:dyDescent="0.25">
      <c r="D737" s="2"/>
      <c r="F737" s="3"/>
      <c r="G737" s="2"/>
      <c r="H737" s="3"/>
    </row>
    <row r="738" spans="4:8" ht="15.75" customHeight="1" x14ac:dyDescent="0.25">
      <c r="D738" s="2"/>
      <c r="F738" s="3"/>
      <c r="G738" s="2"/>
      <c r="H738" s="3"/>
    </row>
    <row r="739" spans="4:8" ht="15.75" customHeight="1" x14ac:dyDescent="0.25">
      <c r="D739" s="2"/>
      <c r="F739" s="3"/>
      <c r="G739" s="2"/>
      <c r="H739" s="3"/>
    </row>
    <row r="740" spans="4:8" ht="15.75" customHeight="1" x14ac:dyDescent="0.25">
      <c r="D740" s="2"/>
      <c r="F740" s="3"/>
      <c r="G740" s="2"/>
      <c r="H740" s="3"/>
    </row>
    <row r="741" spans="4:8" ht="15.75" customHeight="1" x14ac:dyDescent="0.25">
      <c r="D741" s="2"/>
      <c r="F741" s="3"/>
      <c r="G741" s="2"/>
      <c r="H741" s="3"/>
    </row>
    <row r="742" spans="4:8" ht="15.75" customHeight="1" x14ac:dyDescent="0.25">
      <c r="D742" s="2"/>
      <c r="F742" s="3"/>
      <c r="G742" s="2"/>
      <c r="H742" s="3"/>
    </row>
    <row r="743" spans="4:8" ht="15.75" customHeight="1" x14ac:dyDescent="0.25">
      <c r="D743" s="2"/>
      <c r="F743" s="3"/>
      <c r="G743" s="2"/>
      <c r="H743" s="3"/>
    </row>
    <row r="744" spans="4:8" ht="15.75" customHeight="1" x14ac:dyDescent="0.25">
      <c r="D744" s="2"/>
      <c r="F744" s="3"/>
      <c r="G744" s="2"/>
      <c r="H744" s="3"/>
    </row>
    <row r="745" spans="4:8" ht="15.75" customHeight="1" x14ac:dyDescent="0.25">
      <c r="D745" s="2"/>
      <c r="F745" s="3"/>
      <c r="G745" s="2"/>
      <c r="H745" s="3"/>
    </row>
    <row r="746" spans="4:8" ht="15.75" customHeight="1" x14ac:dyDescent="0.25">
      <c r="D746" s="2"/>
      <c r="F746" s="3"/>
      <c r="G746" s="2"/>
      <c r="H746" s="3"/>
    </row>
    <row r="747" spans="4:8" ht="15.75" customHeight="1" x14ac:dyDescent="0.25">
      <c r="D747" s="2"/>
      <c r="F747" s="3"/>
      <c r="G747" s="2"/>
      <c r="H747" s="3"/>
    </row>
    <row r="748" spans="4:8" ht="15.75" customHeight="1" x14ac:dyDescent="0.25">
      <c r="D748" s="2"/>
      <c r="F748" s="3"/>
      <c r="G748" s="2"/>
      <c r="H748" s="3"/>
    </row>
    <row r="749" spans="4:8" ht="15.75" customHeight="1" x14ac:dyDescent="0.25">
      <c r="D749" s="2"/>
      <c r="F749" s="3"/>
      <c r="G749" s="2"/>
      <c r="H749" s="3"/>
    </row>
    <row r="750" spans="4:8" ht="15.75" customHeight="1" x14ac:dyDescent="0.25">
      <c r="D750" s="2"/>
      <c r="F750" s="3"/>
      <c r="G750" s="2"/>
      <c r="H750" s="3"/>
    </row>
    <row r="751" spans="4:8" ht="15.75" customHeight="1" x14ac:dyDescent="0.25">
      <c r="D751" s="2"/>
      <c r="F751" s="3"/>
      <c r="G751" s="2"/>
      <c r="H751" s="3"/>
    </row>
    <row r="752" spans="4:8" ht="15.75" customHeight="1" x14ac:dyDescent="0.25">
      <c r="D752" s="2"/>
      <c r="F752" s="3"/>
      <c r="G752" s="2"/>
      <c r="H752" s="3"/>
    </row>
    <row r="753" spans="4:8" ht="15.75" customHeight="1" x14ac:dyDescent="0.25">
      <c r="D753" s="2"/>
      <c r="F753" s="3"/>
      <c r="G753" s="2"/>
      <c r="H753" s="3"/>
    </row>
    <row r="754" spans="4:8" ht="15.75" customHeight="1" x14ac:dyDescent="0.25">
      <c r="D754" s="2"/>
      <c r="F754" s="3"/>
      <c r="G754" s="2"/>
      <c r="H754" s="3"/>
    </row>
    <row r="755" spans="4:8" ht="15.75" customHeight="1" x14ac:dyDescent="0.25">
      <c r="D755" s="2"/>
      <c r="F755" s="3"/>
      <c r="G755" s="2"/>
      <c r="H755" s="3"/>
    </row>
    <row r="756" spans="4:8" ht="15.75" customHeight="1" x14ac:dyDescent="0.25">
      <c r="D756" s="2"/>
      <c r="F756" s="3"/>
      <c r="G756" s="2"/>
      <c r="H756" s="3"/>
    </row>
    <row r="757" spans="4:8" ht="15.75" customHeight="1" x14ac:dyDescent="0.25">
      <c r="D757" s="2"/>
      <c r="F757" s="3"/>
      <c r="G757" s="2"/>
      <c r="H757" s="3"/>
    </row>
    <row r="758" spans="4:8" ht="15.75" customHeight="1" x14ac:dyDescent="0.25">
      <c r="D758" s="2"/>
      <c r="F758" s="3"/>
      <c r="G758" s="2"/>
      <c r="H758" s="3"/>
    </row>
    <row r="759" spans="4:8" ht="15.75" customHeight="1" x14ac:dyDescent="0.25">
      <c r="D759" s="2"/>
      <c r="F759" s="3"/>
      <c r="G759" s="2"/>
      <c r="H759" s="3"/>
    </row>
    <row r="760" spans="4:8" ht="15.75" customHeight="1" x14ac:dyDescent="0.25">
      <c r="D760" s="2"/>
      <c r="F760" s="3"/>
      <c r="G760" s="2"/>
      <c r="H760" s="3"/>
    </row>
    <row r="761" spans="4:8" ht="15.75" customHeight="1" x14ac:dyDescent="0.25">
      <c r="D761" s="2"/>
      <c r="F761" s="3"/>
      <c r="G761" s="2"/>
      <c r="H761" s="3"/>
    </row>
    <row r="762" spans="4:8" ht="15.75" customHeight="1" x14ac:dyDescent="0.25">
      <c r="D762" s="2"/>
      <c r="F762" s="3"/>
      <c r="G762" s="2"/>
      <c r="H762" s="3"/>
    </row>
    <row r="763" spans="4:8" ht="15.75" customHeight="1" x14ac:dyDescent="0.25">
      <c r="D763" s="2"/>
      <c r="F763" s="3"/>
      <c r="G763" s="2"/>
      <c r="H763" s="3"/>
    </row>
    <row r="764" spans="4:8" ht="15.75" customHeight="1" x14ac:dyDescent="0.25">
      <c r="D764" s="2"/>
      <c r="F764" s="3"/>
      <c r="G764" s="2"/>
      <c r="H764" s="3"/>
    </row>
    <row r="765" spans="4:8" ht="15.75" customHeight="1" x14ac:dyDescent="0.25">
      <c r="D765" s="2"/>
      <c r="F765" s="3"/>
      <c r="G765" s="2"/>
      <c r="H765" s="3"/>
    </row>
    <row r="766" spans="4:8" ht="15.75" customHeight="1" x14ac:dyDescent="0.25">
      <c r="D766" s="2"/>
      <c r="F766" s="3"/>
      <c r="G766" s="2"/>
      <c r="H766" s="3"/>
    </row>
    <row r="767" spans="4:8" ht="15.75" customHeight="1" x14ac:dyDescent="0.25">
      <c r="D767" s="2"/>
      <c r="F767" s="3"/>
      <c r="G767" s="2"/>
      <c r="H767" s="3"/>
    </row>
    <row r="768" spans="4:8" ht="15.75" customHeight="1" x14ac:dyDescent="0.25">
      <c r="D768" s="2"/>
      <c r="F768" s="3"/>
      <c r="G768" s="2"/>
      <c r="H768" s="3"/>
    </row>
    <row r="769" spans="4:8" ht="15.75" customHeight="1" x14ac:dyDescent="0.25">
      <c r="D769" s="2"/>
      <c r="F769" s="3"/>
      <c r="G769" s="2"/>
      <c r="H769" s="3"/>
    </row>
    <row r="770" spans="4:8" ht="15.75" customHeight="1" x14ac:dyDescent="0.25">
      <c r="D770" s="2"/>
      <c r="F770" s="3"/>
      <c r="G770" s="2"/>
      <c r="H770" s="3"/>
    </row>
    <row r="771" spans="4:8" ht="15.75" customHeight="1" x14ac:dyDescent="0.25">
      <c r="D771" s="2"/>
      <c r="F771" s="3"/>
      <c r="G771" s="2"/>
      <c r="H771" s="3"/>
    </row>
    <row r="772" spans="4:8" ht="15.75" customHeight="1" x14ac:dyDescent="0.25">
      <c r="D772" s="2"/>
      <c r="F772" s="3"/>
      <c r="G772" s="2"/>
      <c r="H772" s="3"/>
    </row>
    <row r="773" spans="4:8" ht="15.75" customHeight="1" x14ac:dyDescent="0.25">
      <c r="D773" s="2"/>
      <c r="F773" s="3"/>
      <c r="G773" s="2"/>
      <c r="H773" s="3"/>
    </row>
    <row r="774" spans="4:8" ht="15.75" customHeight="1" x14ac:dyDescent="0.25">
      <c r="D774" s="2"/>
      <c r="F774" s="3"/>
      <c r="G774" s="2"/>
      <c r="H774" s="3"/>
    </row>
    <row r="775" spans="4:8" ht="15.75" customHeight="1" x14ac:dyDescent="0.25">
      <c r="D775" s="2"/>
      <c r="F775" s="3"/>
      <c r="G775" s="2"/>
      <c r="H775" s="3"/>
    </row>
    <row r="776" spans="4:8" ht="15.75" customHeight="1" x14ac:dyDescent="0.25">
      <c r="D776" s="2"/>
      <c r="F776" s="3"/>
      <c r="G776" s="2"/>
      <c r="H776" s="3"/>
    </row>
    <row r="777" spans="4:8" ht="15.75" customHeight="1" x14ac:dyDescent="0.25">
      <c r="D777" s="2"/>
      <c r="F777" s="3"/>
      <c r="G777" s="2"/>
      <c r="H777" s="3"/>
    </row>
    <row r="778" spans="4:8" ht="15.75" customHeight="1" x14ac:dyDescent="0.25">
      <c r="D778" s="2"/>
      <c r="F778" s="3"/>
      <c r="G778" s="2"/>
      <c r="H778" s="3"/>
    </row>
    <row r="779" spans="4:8" ht="15.75" customHeight="1" x14ac:dyDescent="0.25">
      <c r="D779" s="2"/>
      <c r="F779" s="3"/>
      <c r="G779" s="2"/>
      <c r="H779" s="3"/>
    </row>
    <row r="780" spans="4:8" ht="15.75" customHeight="1" x14ac:dyDescent="0.25">
      <c r="D780" s="2"/>
      <c r="F780" s="3"/>
      <c r="G780" s="2"/>
      <c r="H780" s="3"/>
    </row>
    <row r="781" spans="4:8" ht="15.75" customHeight="1" x14ac:dyDescent="0.25">
      <c r="D781" s="2"/>
      <c r="F781" s="3"/>
      <c r="G781" s="2"/>
      <c r="H781" s="3"/>
    </row>
    <row r="782" spans="4:8" ht="15.75" customHeight="1" x14ac:dyDescent="0.25">
      <c r="D782" s="2"/>
      <c r="F782" s="3"/>
      <c r="G782" s="2"/>
      <c r="H782" s="3"/>
    </row>
    <row r="783" spans="4:8" ht="15.75" customHeight="1" x14ac:dyDescent="0.25">
      <c r="D783" s="2"/>
      <c r="F783" s="3"/>
      <c r="G783" s="2"/>
      <c r="H783" s="3"/>
    </row>
    <row r="784" spans="4:8" ht="15.75" customHeight="1" x14ac:dyDescent="0.25">
      <c r="D784" s="2"/>
      <c r="F784" s="3"/>
      <c r="G784" s="2"/>
      <c r="H784" s="3"/>
    </row>
    <row r="785" spans="4:8" ht="15.75" customHeight="1" x14ac:dyDescent="0.25">
      <c r="D785" s="2"/>
      <c r="F785" s="3"/>
      <c r="G785" s="2"/>
      <c r="H785" s="3"/>
    </row>
    <row r="786" spans="4:8" ht="15.75" customHeight="1" x14ac:dyDescent="0.25">
      <c r="D786" s="2"/>
      <c r="F786" s="3"/>
      <c r="G786" s="2"/>
      <c r="H786" s="3"/>
    </row>
    <row r="787" spans="4:8" ht="15.75" customHeight="1" x14ac:dyDescent="0.25">
      <c r="D787" s="2"/>
      <c r="F787" s="3"/>
      <c r="G787" s="2"/>
      <c r="H787" s="3"/>
    </row>
    <row r="788" spans="4:8" ht="15.75" customHeight="1" x14ac:dyDescent="0.25">
      <c r="D788" s="2"/>
      <c r="F788" s="3"/>
      <c r="G788" s="2"/>
      <c r="H788" s="3"/>
    </row>
    <row r="789" spans="4:8" ht="15.75" customHeight="1" x14ac:dyDescent="0.25">
      <c r="D789" s="2"/>
      <c r="F789" s="3"/>
      <c r="G789" s="2"/>
      <c r="H789" s="3"/>
    </row>
    <row r="790" spans="4:8" ht="15.75" customHeight="1" x14ac:dyDescent="0.25">
      <c r="D790" s="2"/>
      <c r="F790" s="3"/>
      <c r="G790" s="2"/>
      <c r="H790" s="3"/>
    </row>
    <row r="791" spans="4:8" ht="15.75" customHeight="1" x14ac:dyDescent="0.25">
      <c r="D791" s="2"/>
      <c r="F791" s="3"/>
      <c r="G791" s="2"/>
      <c r="H791" s="3"/>
    </row>
    <row r="792" spans="4:8" ht="15.75" customHeight="1" x14ac:dyDescent="0.25">
      <c r="D792" s="2"/>
      <c r="F792" s="3"/>
      <c r="G792" s="2"/>
      <c r="H792" s="3"/>
    </row>
    <row r="793" spans="4:8" ht="15.75" customHeight="1" x14ac:dyDescent="0.25">
      <c r="D793" s="2"/>
      <c r="F793" s="3"/>
      <c r="G793" s="2"/>
      <c r="H793" s="3"/>
    </row>
    <row r="794" spans="4:8" ht="15.75" customHeight="1" x14ac:dyDescent="0.25">
      <c r="D794" s="2"/>
      <c r="F794" s="3"/>
      <c r="G794" s="2"/>
      <c r="H794" s="3"/>
    </row>
    <row r="795" spans="4:8" ht="15.75" customHeight="1" x14ac:dyDescent="0.25">
      <c r="D795" s="2"/>
      <c r="F795" s="3"/>
      <c r="G795" s="2"/>
      <c r="H795" s="3"/>
    </row>
    <row r="796" spans="4:8" ht="15.75" customHeight="1" x14ac:dyDescent="0.25">
      <c r="D796" s="2"/>
      <c r="F796" s="3"/>
      <c r="G796" s="2"/>
      <c r="H796" s="3"/>
    </row>
    <row r="797" spans="4:8" ht="15.75" customHeight="1" x14ac:dyDescent="0.25">
      <c r="D797" s="2"/>
      <c r="F797" s="3"/>
      <c r="G797" s="2"/>
      <c r="H797" s="3"/>
    </row>
    <row r="798" spans="4:8" ht="15.75" customHeight="1" x14ac:dyDescent="0.25">
      <c r="D798" s="2"/>
      <c r="F798" s="3"/>
      <c r="G798" s="2"/>
      <c r="H798" s="3"/>
    </row>
    <row r="799" spans="4:8" ht="15.75" customHeight="1" x14ac:dyDescent="0.25">
      <c r="D799" s="2"/>
      <c r="F799" s="3"/>
      <c r="G799" s="2"/>
      <c r="H799" s="3"/>
    </row>
    <row r="800" spans="4:8" ht="15.75" customHeight="1" x14ac:dyDescent="0.25">
      <c r="D800" s="2"/>
      <c r="F800" s="3"/>
      <c r="G800" s="2"/>
      <c r="H800" s="3"/>
    </row>
    <row r="801" spans="4:8" ht="15.75" customHeight="1" x14ac:dyDescent="0.25">
      <c r="D801" s="2"/>
      <c r="F801" s="3"/>
      <c r="G801" s="2"/>
      <c r="H801" s="3"/>
    </row>
    <row r="802" spans="4:8" ht="15.75" customHeight="1" x14ac:dyDescent="0.25">
      <c r="D802" s="2"/>
      <c r="F802" s="3"/>
      <c r="G802" s="2"/>
      <c r="H802" s="3"/>
    </row>
    <row r="803" spans="4:8" ht="15.75" customHeight="1" x14ac:dyDescent="0.25">
      <c r="D803" s="2"/>
      <c r="F803" s="3"/>
      <c r="G803" s="2"/>
      <c r="H803" s="3"/>
    </row>
    <row r="804" spans="4:8" ht="15.75" customHeight="1" x14ac:dyDescent="0.25">
      <c r="D804" s="2"/>
      <c r="F804" s="3"/>
      <c r="G804" s="2"/>
      <c r="H804" s="3"/>
    </row>
    <row r="805" spans="4:8" ht="15.75" customHeight="1" x14ac:dyDescent="0.25">
      <c r="D805" s="2"/>
      <c r="F805" s="3"/>
      <c r="G805" s="2"/>
      <c r="H805" s="3"/>
    </row>
    <row r="806" spans="4:8" ht="15.75" customHeight="1" x14ac:dyDescent="0.25">
      <c r="D806" s="2"/>
      <c r="F806" s="3"/>
      <c r="G806" s="2"/>
      <c r="H806" s="3"/>
    </row>
    <row r="807" spans="4:8" ht="15.75" customHeight="1" x14ac:dyDescent="0.25">
      <c r="D807" s="2"/>
      <c r="F807" s="3"/>
      <c r="G807" s="2"/>
      <c r="H807" s="3"/>
    </row>
    <row r="808" spans="4:8" ht="15.75" customHeight="1" x14ac:dyDescent="0.25">
      <c r="D808" s="2"/>
      <c r="F808" s="3"/>
      <c r="G808" s="2"/>
      <c r="H808" s="3"/>
    </row>
    <row r="809" spans="4:8" ht="15.75" customHeight="1" x14ac:dyDescent="0.25">
      <c r="D809" s="2"/>
      <c r="F809" s="3"/>
      <c r="G809" s="2"/>
      <c r="H809" s="3"/>
    </row>
    <row r="810" spans="4:8" ht="15.75" customHeight="1" x14ac:dyDescent="0.25">
      <c r="D810" s="2"/>
      <c r="F810" s="3"/>
      <c r="G810" s="2"/>
      <c r="H810" s="3"/>
    </row>
    <row r="811" spans="4:8" ht="15.75" customHeight="1" x14ac:dyDescent="0.25">
      <c r="D811" s="2"/>
      <c r="F811" s="3"/>
      <c r="G811" s="2"/>
      <c r="H811" s="3"/>
    </row>
    <row r="812" spans="4:8" ht="15.75" customHeight="1" x14ac:dyDescent="0.25">
      <c r="D812" s="2"/>
      <c r="F812" s="3"/>
      <c r="G812" s="2"/>
      <c r="H812" s="3"/>
    </row>
    <row r="813" spans="4:8" ht="15.75" customHeight="1" x14ac:dyDescent="0.25">
      <c r="D813" s="2"/>
      <c r="F813" s="3"/>
      <c r="G813" s="2"/>
      <c r="H813" s="3"/>
    </row>
    <row r="814" spans="4:8" ht="15.75" customHeight="1" x14ac:dyDescent="0.25">
      <c r="D814" s="2"/>
      <c r="F814" s="3"/>
      <c r="G814" s="2"/>
      <c r="H814" s="3"/>
    </row>
    <row r="815" spans="4:8" ht="15.75" customHeight="1" x14ac:dyDescent="0.25">
      <c r="D815" s="2"/>
      <c r="F815" s="3"/>
      <c r="G815" s="2"/>
      <c r="H815" s="3"/>
    </row>
    <row r="816" spans="4:8" ht="15.75" customHeight="1" x14ac:dyDescent="0.25">
      <c r="D816" s="2"/>
      <c r="F816" s="3"/>
      <c r="G816" s="2"/>
      <c r="H816" s="3"/>
    </row>
    <row r="817" spans="4:8" ht="15.75" customHeight="1" x14ac:dyDescent="0.25">
      <c r="D817" s="2"/>
      <c r="F817" s="3"/>
      <c r="G817" s="2"/>
      <c r="H817" s="3"/>
    </row>
    <row r="818" spans="4:8" ht="15.75" customHeight="1" x14ac:dyDescent="0.25">
      <c r="D818" s="2"/>
      <c r="F818" s="3"/>
      <c r="G818" s="2"/>
      <c r="H818" s="3"/>
    </row>
    <row r="819" spans="4:8" ht="15.75" customHeight="1" x14ac:dyDescent="0.25">
      <c r="D819" s="2"/>
      <c r="F819" s="3"/>
      <c r="G819" s="2"/>
      <c r="H819" s="3"/>
    </row>
    <row r="820" spans="4:8" ht="15.75" customHeight="1" x14ac:dyDescent="0.25">
      <c r="D820" s="2"/>
      <c r="F820" s="3"/>
      <c r="G820" s="2"/>
      <c r="H820" s="3"/>
    </row>
    <row r="821" spans="4:8" ht="15.75" customHeight="1" x14ac:dyDescent="0.25">
      <c r="D821" s="2"/>
      <c r="F821" s="3"/>
      <c r="G821" s="2"/>
      <c r="H821" s="3"/>
    </row>
    <row r="822" spans="4:8" ht="15.75" customHeight="1" x14ac:dyDescent="0.25">
      <c r="D822" s="2"/>
      <c r="F822" s="3"/>
      <c r="G822" s="2"/>
      <c r="H822" s="3"/>
    </row>
    <row r="823" spans="4:8" ht="15.75" customHeight="1" x14ac:dyDescent="0.25">
      <c r="D823" s="2"/>
      <c r="F823" s="3"/>
      <c r="G823" s="2"/>
      <c r="H823" s="3"/>
    </row>
    <row r="824" spans="4:8" ht="15.75" customHeight="1" x14ac:dyDescent="0.25">
      <c r="D824" s="2"/>
      <c r="F824" s="3"/>
      <c r="G824" s="2"/>
      <c r="H824" s="3"/>
    </row>
    <row r="825" spans="4:8" ht="15.75" customHeight="1" x14ac:dyDescent="0.25">
      <c r="D825" s="2"/>
      <c r="F825" s="3"/>
      <c r="G825" s="2"/>
      <c r="H825" s="3"/>
    </row>
    <row r="826" spans="4:8" ht="15.75" customHeight="1" x14ac:dyDescent="0.25">
      <c r="D826" s="2"/>
      <c r="F826" s="3"/>
      <c r="G826" s="2"/>
      <c r="H826" s="3"/>
    </row>
    <row r="827" spans="4:8" ht="15.75" customHeight="1" x14ac:dyDescent="0.25">
      <c r="D827" s="2"/>
      <c r="F827" s="3"/>
      <c r="G827" s="2"/>
      <c r="H827" s="3"/>
    </row>
    <row r="828" spans="4:8" ht="15.75" customHeight="1" x14ac:dyDescent="0.25">
      <c r="D828" s="2"/>
      <c r="F828" s="3"/>
      <c r="G828" s="2"/>
      <c r="H828" s="3"/>
    </row>
    <row r="829" spans="4:8" ht="15.75" customHeight="1" x14ac:dyDescent="0.25">
      <c r="D829" s="2"/>
      <c r="F829" s="3"/>
      <c r="G829" s="2"/>
      <c r="H829" s="3"/>
    </row>
    <row r="830" spans="4:8" ht="15.75" customHeight="1" x14ac:dyDescent="0.25">
      <c r="D830" s="2"/>
      <c r="F830" s="3"/>
      <c r="G830" s="2"/>
      <c r="H830" s="3"/>
    </row>
    <row r="831" spans="4:8" ht="15.75" customHeight="1" x14ac:dyDescent="0.25">
      <c r="D831" s="2"/>
      <c r="F831" s="3"/>
      <c r="G831" s="2"/>
      <c r="H831" s="3"/>
    </row>
    <row r="832" spans="4:8" ht="15.75" customHeight="1" x14ac:dyDescent="0.25">
      <c r="D832" s="2"/>
      <c r="F832" s="3"/>
      <c r="G832" s="2"/>
      <c r="H832" s="3"/>
    </row>
    <row r="833" spans="4:8" ht="15.75" customHeight="1" x14ac:dyDescent="0.25">
      <c r="D833" s="2"/>
      <c r="F833" s="3"/>
      <c r="G833" s="2"/>
      <c r="H833" s="3"/>
    </row>
    <row r="834" spans="4:8" ht="15.75" customHeight="1" x14ac:dyDescent="0.25">
      <c r="D834" s="2"/>
      <c r="F834" s="3"/>
      <c r="G834" s="2"/>
      <c r="H834" s="3"/>
    </row>
    <row r="835" spans="4:8" ht="15.75" customHeight="1" x14ac:dyDescent="0.25">
      <c r="D835" s="2"/>
      <c r="F835" s="3"/>
      <c r="G835" s="2"/>
      <c r="H835" s="3"/>
    </row>
    <row r="836" spans="4:8" ht="15.75" customHeight="1" x14ac:dyDescent="0.25">
      <c r="D836" s="2"/>
      <c r="F836" s="3"/>
      <c r="G836" s="2"/>
      <c r="H836" s="3"/>
    </row>
    <row r="837" spans="4:8" ht="15.75" customHeight="1" x14ac:dyDescent="0.25">
      <c r="D837" s="2"/>
      <c r="F837" s="3"/>
      <c r="G837" s="2"/>
      <c r="H837" s="3"/>
    </row>
    <row r="838" spans="4:8" ht="15.75" customHeight="1" x14ac:dyDescent="0.25">
      <c r="D838" s="2"/>
      <c r="F838" s="3"/>
      <c r="G838" s="2"/>
      <c r="H838" s="3"/>
    </row>
    <row r="839" spans="4:8" ht="15.75" customHeight="1" x14ac:dyDescent="0.25">
      <c r="D839" s="2"/>
      <c r="F839" s="3"/>
      <c r="G839" s="2"/>
      <c r="H839" s="3"/>
    </row>
    <row r="840" spans="4:8" ht="15.75" customHeight="1" x14ac:dyDescent="0.25">
      <c r="D840" s="2"/>
      <c r="F840" s="3"/>
      <c r="G840" s="2"/>
      <c r="H840" s="3"/>
    </row>
    <row r="841" spans="4:8" ht="15.75" customHeight="1" x14ac:dyDescent="0.25">
      <c r="D841" s="2"/>
      <c r="F841" s="3"/>
      <c r="G841" s="2"/>
      <c r="H841" s="3"/>
    </row>
    <row r="842" spans="4:8" ht="15.75" customHeight="1" x14ac:dyDescent="0.25">
      <c r="D842" s="2"/>
      <c r="F842" s="3"/>
      <c r="G842" s="2"/>
      <c r="H842" s="3"/>
    </row>
    <row r="843" spans="4:8" ht="15.75" customHeight="1" x14ac:dyDescent="0.25">
      <c r="D843" s="2"/>
      <c r="F843" s="3"/>
      <c r="G843" s="2"/>
      <c r="H843" s="3"/>
    </row>
    <row r="844" spans="4:8" ht="15.75" customHeight="1" x14ac:dyDescent="0.25">
      <c r="D844" s="2"/>
      <c r="F844" s="3"/>
      <c r="G844" s="2"/>
      <c r="H844" s="3"/>
    </row>
    <row r="845" spans="4:8" ht="15.75" customHeight="1" x14ac:dyDescent="0.25">
      <c r="D845" s="2"/>
      <c r="F845" s="3"/>
      <c r="G845" s="2"/>
      <c r="H845" s="3"/>
    </row>
    <row r="846" spans="4:8" ht="15.75" customHeight="1" x14ac:dyDescent="0.25">
      <c r="D846" s="2"/>
      <c r="F846" s="3"/>
      <c r="G846" s="2"/>
      <c r="H846" s="3"/>
    </row>
    <row r="847" spans="4:8" ht="15.75" customHeight="1" x14ac:dyDescent="0.25">
      <c r="D847" s="2"/>
      <c r="F847" s="3"/>
      <c r="G847" s="2"/>
      <c r="H847" s="3"/>
    </row>
    <row r="848" spans="4:8" ht="15.75" customHeight="1" x14ac:dyDescent="0.25">
      <c r="D848" s="2"/>
      <c r="F848" s="3"/>
      <c r="G848" s="2"/>
      <c r="H848" s="3"/>
    </row>
    <row r="849" spans="4:8" ht="15.75" customHeight="1" x14ac:dyDescent="0.25">
      <c r="D849" s="2"/>
      <c r="F849" s="3"/>
      <c r="G849" s="2"/>
      <c r="H849" s="3"/>
    </row>
    <row r="850" spans="4:8" ht="15.75" customHeight="1" x14ac:dyDescent="0.25">
      <c r="D850" s="2"/>
      <c r="F850" s="3"/>
      <c r="G850" s="2"/>
      <c r="H850" s="3"/>
    </row>
    <row r="851" spans="4:8" ht="15.75" customHeight="1" x14ac:dyDescent="0.25">
      <c r="D851" s="2"/>
      <c r="F851" s="3"/>
      <c r="G851" s="2"/>
      <c r="H851" s="3"/>
    </row>
    <row r="852" spans="4:8" ht="15.75" customHeight="1" x14ac:dyDescent="0.25">
      <c r="D852" s="2"/>
      <c r="F852" s="3"/>
      <c r="G852" s="2"/>
      <c r="H852" s="3"/>
    </row>
    <row r="853" spans="4:8" ht="15.75" customHeight="1" x14ac:dyDescent="0.25">
      <c r="D853" s="2"/>
      <c r="F853" s="3"/>
      <c r="G853" s="2"/>
      <c r="H853" s="3"/>
    </row>
    <row r="854" spans="4:8" ht="15.75" customHeight="1" x14ac:dyDescent="0.25">
      <c r="D854" s="2"/>
      <c r="F854" s="3"/>
      <c r="G854" s="2"/>
      <c r="H854" s="3"/>
    </row>
    <row r="855" spans="4:8" ht="15.75" customHeight="1" x14ac:dyDescent="0.25">
      <c r="D855" s="2"/>
      <c r="F855" s="3"/>
      <c r="G855" s="2"/>
      <c r="H855" s="3"/>
    </row>
    <row r="856" spans="4:8" ht="15.75" customHeight="1" x14ac:dyDescent="0.25">
      <c r="D856" s="2"/>
      <c r="F856" s="3"/>
      <c r="G856" s="2"/>
      <c r="H856" s="3"/>
    </row>
    <row r="857" spans="4:8" ht="15.75" customHeight="1" x14ac:dyDescent="0.25">
      <c r="D857" s="2"/>
      <c r="F857" s="3"/>
      <c r="G857" s="2"/>
      <c r="H857" s="3"/>
    </row>
    <row r="858" spans="4:8" ht="15.75" customHeight="1" x14ac:dyDescent="0.25">
      <c r="D858" s="2"/>
      <c r="F858" s="3"/>
      <c r="G858" s="2"/>
      <c r="H858" s="3"/>
    </row>
    <row r="859" spans="4:8" ht="15.75" customHeight="1" x14ac:dyDescent="0.25">
      <c r="D859" s="2"/>
      <c r="F859" s="3"/>
      <c r="G859" s="2"/>
      <c r="H859" s="3"/>
    </row>
    <row r="860" spans="4:8" ht="15.75" customHeight="1" x14ac:dyDescent="0.25">
      <c r="D860" s="2"/>
      <c r="F860" s="3"/>
      <c r="G860" s="2"/>
      <c r="H860" s="3"/>
    </row>
    <row r="861" spans="4:8" ht="15.75" customHeight="1" x14ac:dyDescent="0.25">
      <c r="D861" s="2"/>
      <c r="F861" s="3"/>
      <c r="G861" s="2"/>
      <c r="H861" s="3"/>
    </row>
    <row r="862" spans="4:8" ht="15.75" customHeight="1" x14ac:dyDescent="0.25">
      <c r="D862" s="2"/>
      <c r="F862" s="3"/>
      <c r="G862" s="2"/>
      <c r="H862" s="3"/>
    </row>
    <row r="863" spans="4:8" ht="15.75" customHeight="1" x14ac:dyDescent="0.25">
      <c r="D863" s="2"/>
      <c r="F863" s="3"/>
      <c r="G863" s="2"/>
      <c r="H863" s="3"/>
    </row>
    <row r="864" spans="4:8" ht="15.75" customHeight="1" x14ac:dyDescent="0.25">
      <c r="D864" s="2"/>
      <c r="F864" s="3"/>
      <c r="G864" s="2"/>
      <c r="H864" s="3"/>
    </row>
    <row r="865" spans="4:8" ht="15.75" customHeight="1" x14ac:dyDescent="0.25">
      <c r="D865" s="2"/>
      <c r="F865" s="3"/>
      <c r="G865" s="2"/>
      <c r="H865" s="3"/>
    </row>
    <row r="866" spans="4:8" ht="15.75" customHeight="1" x14ac:dyDescent="0.25">
      <c r="D866" s="2"/>
      <c r="F866" s="3"/>
      <c r="G866" s="2"/>
      <c r="H866" s="3"/>
    </row>
    <row r="867" spans="4:8" ht="15.75" customHeight="1" x14ac:dyDescent="0.25">
      <c r="D867" s="2"/>
      <c r="F867" s="3"/>
      <c r="G867" s="2"/>
      <c r="H867" s="3"/>
    </row>
    <row r="868" spans="4:8" ht="15.75" customHeight="1" x14ac:dyDescent="0.25">
      <c r="D868" s="2"/>
      <c r="F868" s="3"/>
      <c r="G868" s="2"/>
      <c r="H868" s="3"/>
    </row>
    <row r="869" spans="4:8" ht="15.75" customHeight="1" x14ac:dyDescent="0.25">
      <c r="D869" s="2"/>
      <c r="F869" s="3"/>
      <c r="G869" s="2"/>
      <c r="H869" s="3"/>
    </row>
    <row r="870" spans="4:8" ht="15.75" customHeight="1" x14ac:dyDescent="0.25">
      <c r="D870" s="2"/>
      <c r="F870" s="3"/>
      <c r="G870" s="2"/>
      <c r="H870" s="3"/>
    </row>
    <row r="871" spans="4:8" ht="15.75" customHeight="1" x14ac:dyDescent="0.25">
      <c r="D871" s="2"/>
      <c r="F871" s="3"/>
      <c r="G871" s="2"/>
      <c r="H871" s="3"/>
    </row>
    <row r="872" spans="4:8" ht="15.75" customHeight="1" x14ac:dyDescent="0.25">
      <c r="D872" s="2"/>
      <c r="F872" s="3"/>
      <c r="G872" s="2"/>
      <c r="H872" s="3"/>
    </row>
    <row r="873" spans="4:8" ht="15.75" customHeight="1" x14ac:dyDescent="0.25">
      <c r="D873" s="2"/>
      <c r="F873" s="3"/>
      <c r="G873" s="2"/>
      <c r="H873" s="3"/>
    </row>
    <row r="874" spans="4:8" ht="15.75" customHeight="1" x14ac:dyDescent="0.25">
      <c r="D874" s="2"/>
      <c r="F874" s="3"/>
      <c r="G874" s="2"/>
      <c r="H874" s="3"/>
    </row>
    <row r="875" spans="4:8" ht="15.75" customHeight="1" x14ac:dyDescent="0.25">
      <c r="D875" s="2"/>
      <c r="F875" s="3"/>
      <c r="G875" s="2"/>
      <c r="H875" s="3"/>
    </row>
    <row r="876" spans="4:8" ht="15.75" customHeight="1" x14ac:dyDescent="0.25">
      <c r="D876" s="2"/>
      <c r="F876" s="3"/>
      <c r="G876" s="2"/>
      <c r="H876" s="3"/>
    </row>
    <row r="877" spans="4:8" ht="15.75" customHeight="1" x14ac:dyDescent="0.25">
      <c r="D877" s="2"/>
      <c r="F877" s="3"/>
      <c r="G877" s="2"/>
      <c r="H877" s="3"/>
    </row>
    <row r="878" spans="4:8" ht="15.75" customHeight="1" x14ac:dyDescent="0.25">
      <c r="D878" s="2"/>
      <c r="F878" s="3"/>
      <c r="G878" s="2"/>
      <c r="H878" s="3"/>
    </row>
    <row r="879" spans="4:8" ht="15.75" customHeight="1" x14ac:dyDescent="0.25">
      <c r="D879" s="2"/>
      <c r="F879" s="3"/>
      <c r="G879" s="2"/>
      <c r="H879" s="3"/>
    </row>
    <row r="880" spans="4:8" ht="15.75" customHeight="1" x14ac:dyDescent="0.25">
      <c r="D880" s="2"/>
      <c r="F880" s="3"/>
      <c r="G880" s="2"/>
      <c r="H880" s="3"/>
    </row>
    <row r="881" spans="4:8" ht="15.75" customHeight="1" x14ac:dyDescent="0.25">
      <c r="D881" s="2"/>
      <c r="F881" s="3"/>
      <c r="G881" s="2"/>
      <c r="H881" s="3"/>
    </row>
    <row r="882" spans="4:8" ht="15.75" customHeight="1" x14ac:dyDescent="0.25">
      <c r="D882" s="2"/>
      <c r="F882" s="3"/>
      <c r="G882" s="2"/>
      <c r="H882" s="3"/>
    </row>
    <row r="883" spans="4:8" ht="15.75" customHeight="1" x14ac:dyDescent="0.25">
      <c r="D883" s="2"/>
      <c r="F883" s="3"/>
      <c r="G883" s="2"/>
      <c r="H883" s="3"/>
    </row>
    <row r="884" spans="4:8" ht="15.75" customHeight="1" x14ac:dyDescent="0.25">
      <c r="D884" s="2"/>
      <c r="F884" s="3"/>
      <c r="G884" s="2"/>
      <c r="H884" s="3"/>
    </row>
    <row r="885" spans="4:8" ht="15.75" customHeight="1" x14ac:dyDescent="0.25">
      <c r="D885" s="2"/>
      <c r="F885" s="3"/>
      <c r="G885" s="2"/>
      <c r="H885" s="3"/>
    </row>
    <row r="886" spans="4:8" ht="15.75" customHeight="1" x14ac:dyDescent="0.25">
      <c r="D886" s="2"/>
      <c r="F886" s="3"/>
      <c r="G886" s="2"/>
      <c r="H886" s="3"/>
    </row>
    <row r="887" spans="4:8" ht="15.75" customHeight="1" x14ac:dyDescent="0.25">
      <c r="D887" s="2"/>
      <c r="F887" s="3"/>
      <c r="G887" s="2"/>
      <c r="H887" s="3"/>
    </row>
    <row r="888" spans="4:8" ht="15.75" customHeight="1" x14ac:dyDescent="0.25">
      <c r="D888" s="2"/>
      <c r="F888" s="3"/>
      <c r="G888" s="2"/>
      <c r="H888" s="3"/>
    </row>
    <row r="889" spans="4:8" ht="15.75" customHeight="1" x14ac:dyDescent="0.25">
      <c r="D889" s="2"/>
      <c r="F889" s="3"/>
      <c r="G889" s="2"/>
      <c r="H889" s="3"/>
    </row>
    <row r="890" spans="4:8" ht="15.75" customHeight="1" x14ac:dyDescent="0.25">
      <c r="D890" s="2"/>
      <c r="F890" s="3"/>
      <c r="G890" s="2"/>
      <c r="H890" s="3"/>
    </row>
    <row r="891" spans="4:8" ht="15.75" customHeight="1" x14ac:dyDescent="0.25">
      <c r="D891" s="2"/>
      <c r="F891" s="3"/>
      <c r="G891" s="2"/>
      <c r="H891" s="3"/>
    </row>
    <row r="892" spans="4:8" ht="15.75" customHeight="1" x14ac:dyDescent="0.25">
      <c r="D892" s="2"/>
      <c r="F892" s="3"/>
      <c r="G892" s="2"/>
      <c r="H892" s="3"/>
    </row>
    <row r="893" spans="4:8" ht="15.75" customHeight="1" x14ac:dyDescent="0.25">
      <c r="D893" s="2"/>
      <c r="F893" s="3"/>
      <c r="G893" s="2"/>
      <c r="H893" s="3"/>
    </row>
    <row r="894" spans="4:8" ht="15.75" customHeight="1" x14ac:dyDescent="0.25">
      <c r="D894" s="2"/>
      <c r="F894" s="3"/>
      <c r="G894" s="2"/>
      <c r="H894" s="3"/>
    </row>
    <row r="895" spans="4:8" ht="15.75" customHeight="1" x14ac:dyDescent="0.25">
      <c r="D895" s="2"/>
      <c r="F895" s="3"/>
      <c r="G895" s="2"/>
      <c r="H895" s="3"/>
    </row>
    <row r="896" spans="4:8" ht="15.75" customHeight="1" x14ac:dyDescent="0.25">
      <c r="D896" s="2"/>
      <c r="F896" s="3"/>
      <c r="G896" s="2"/>
      <c r="H896" s="3"/>
    </row>
    <row r="897" spans="4:8" ht="15.75" customHeight="1" x14ac:dyDescent="0.25">
      <c r="D897" s="2"/>
      <c r="F897" s="3"/>
      <c r="G897" s="2"/>
      <c r="H897" s="3"/>
    </row>
    <row r="898" spans="4:8" ht="15.75" customHeight="1" x14ac:dyDescent="0.25">
      <c r="D898" s="2"/>
      <c r="F898" s="3"/>
      <c r="G898" s="2"/>
      <c r="H898" s="3"/>
    </row>
    <row r="899" spans="4:8" ht="15.75" customHeight="1" x14ac:dyDescent="0.25">
      <c r="D899" s="2"/>
      <c r="F899" s="3"/>
      <c r="G899" s="2"/>
      <c r="H899" s="3"/>
    </row>
    <row r="900" spans="4:8" ht="15.75" customHeight="1" x14ac:dyDescent="0.25">
      <c r="D900" s="2"/>
      <c r="F900" s="3"/>
      <c r="G900" s="2"/>
      <c r="H900" s="3"/>
    </row>
    <row r="901" spans="4:8" ht="15.75" customHeight="1" x14ac:dyDescent="0.25">
      <c r="D901" s="2"/>
      <c r="F901" s="3"/>
      <c r="G901" s="2"/>
      <c r="H901" s="3"/>
    </row>
    <row r="902" spans="4:8" ht="15.75" customHeight="1" x14ac:dyDescent="0.25">
      <c r="D902" s="2"/>
      <c r="F902" s="3"/>
      <c r="G902" s="2"/>
      <c r="H902" s="3"/>
    </row>
    <row r="903" spans="4:8" ht="15.75" customHeight="1" x14ac:dyDescent="0.25">
      <c r="D903" s="2"/>
      <c r="F903" s="3"/>
      <c r="G903" s="2"/>
      <c r="H903" s="3"/>
    </row>
    <row r="904" spans="4:8" ht="15.75" customHeight="1" x14ac:dyDescent="0.25">
      <c r="D904" s="2"/>
      <c r="F904" s="3"/>
      <c r="G904" s="2"/>
      <c r="H904" s="3"/>
    </row>
    <row r="905" spans="4:8" ht="15.75" customHeight="1" x14ac:dyDescent="0.25">
      <c r="D905" s="2"/>
      <c r="F905" s="3"/>
      <c r="G905" s="2"/>
      <c r="H905" s="3"/>
    </row>
    <row r="906" spans="4:8" ht="15.75" customHeight="1" x14ac:dyDescent="0.25">
      <c r="D906" s="2"/>
      <c r="F906" s="3"/>
      <c r="G906" s="2"/>
      <c r="H906" s="3"/>
    </row>
    <row r="907" spans="4:8" ht="15.75" customHeight="1" x14ac:dyDescent="0.25">
      <c r="D907" s="2"/>
      <c r="F907" s="3"/>
      <c r="G907" s="2"/>
      <c r="H907" s="3"/>
    </row>
    <row r="908" spans="4:8" ht="15.75" customHeight="1" x14ac:dyDescent="0.25">
      <c r="D908" s="2"/>
      <c r="F908" s="3"/>
      <c r="G908" s="2"/>
      <c r="H908" s="3"/>
    </row>
    <row r="909" spans="4:8" ht="15.75" customHeight="1" x14ac:dyDescent="0.25">
      <c r="D909" s="2"/>
      <c r="F909" s="3"/>
      <c r="G909" s="2"/>
      <c r="H909" s="3"/>
    </row>
    <row r="910" spans="4:8" ht="15.75" customHeight="1" x14ac:dyDescent="0.25">
      <c r="D910" s="2"/>
      <c r="F910" s="3"/>
      <c r="G910" s="2"/>
      <c r="H910" s="3"/>
    </row>
    <row r="911" spans="4:8" ht="15.75" customHeight="1" x14ac:dyDescent="0.25">
      <c r="D911" s="2"/>
      <c r="F911" s="3"/>
      <c r="G911" s="2"/>
      <c r="H911" s="3"/>
    </row>
    <row r="912" spans="4:8" ht="15.75" customHeight="1" x14ac:dyDescent="0.25">
      <c r="D912" s="2"/>
      <c r="F912" s="3"/>
      <c r="G912" s="2"/>
      <c r="H912" s="3"/>
    </row>
    <row r="913" spans="4:8" ht="15.75" customHeight="1" x14ac:dyDescent="0.25">
      <c r="D913" s="2"/>
      <c r="F913" s="3"/>
      <c r="G913" s="2"/>
      <c r="H913" s="3"/>
    </row>
    <row r="914" spans="4:8" ht="15.75" customHeight="1" x14ac:dyDescent="0.25">
      <c r="D914" s="2"/>
      <c r="F914" s="3"/>
      <c r="G914" s="2"/>
      <c r="H914" s="3"/>
    </row>
    <row r="915" spans="4:8" ht="15.75" customHeight="1" x14ac:dyDescent="0.25">
      <c r="D915" s="2"/>
      <c r="F915" s="3"/>
      <c r="G915" s="2"/>
      <c r="H915" s="3"/>
    </row>
    <row r="916" spans="4:8" ht="15.75" customHeight="1" x14ac:dyDescent="0.25">
      <c r="D916" s="2"/>
      <c r="F916" s="3"/>
      <c r="G916" s="2"/>
      <c r="H916" s="3"/>
    </row>
    <row r="917" spans="4:8" ht="15.75" customHeight="1" x14ac:dyDescent="0.25">
      <c r="D917" s="2"/>
      <c r="F917" s="3"/>
      <c r="G917" s="2"/>
      <c r="H917" s="3"/>
    </row>
    <row r="918" spans="4:8" ht="15.75" customHeight="1" x14ac:dyDescent="0.25">
      <c r="D918" s="2"/>
      <c r="F918" s="3"/>
      <c r="G918" s="2"/>
      <c r="H918" s="3"/>
    </row>
    <row r="919" spans="4:8" ht="15.75" customHeight="1" x14ac:dyDescent="0.25">
      <c r="D919" s="2"/>
      <c r="F919" s="3"/>
      <c r="G919" s="2"/>
      <c r="H919" s="3"/>
    </row>
    <row r="920" spans="4:8" ht="15.75" customHeight="1" x14ac:dyDescent="0.25">
      <c r="D920" s="2"/>
      <c r="F920" s="3"/>
      <c r="G920" s="2"/>
      <c r="H920" s="3"/>
    </row>
    <row r="921" spans="4:8" ht="15.75" customHeight="1" x14ac:dyDescent="0.25">
      <c r="D921" s="2"/>
      <c r="F921" s="3"/>
      <c r="G921" s="2"/>
      <c r="H921" s="3"/>
    </row>
    <row r="922" spans="4:8" ht="15.75" customHeight="1" x14ac:dyDescent="0.25">
      <c r="D922" s="2"/>
      <c r="F922" s="3"/>
      <c r="G922" s="2"/>
      <c r="H922" s="3"/>
    </row>
    <row r="923" spans="4:8" ht="15.75" customHeight="1" x14ac:dyDescent="0.25">
      <c r="D923" s="2"/>
      <c r="F923" s="3"/>
      <c r="G923" s="2"/>
      <c r="H923" s="3"/>
    </row>
    <row r="924" spans="4:8" ht="15.75" customHeight="1" x14ac:dyDescent="0.25">
      <c r="D924" s="2"/>
      <c r="F924" s="3"/>
      <c r="G924" s="2"/>
      <c r="H924" s="3"/>
    </row>
    <row r="925" spans="4:8" ht="15.75" customHeight="1" x14ac:dyDescent="0.25">
      <c r="D925" s="2"/>
      <c r="F925" s="3"/>
      <c r="G925" s="2"/>
      <c r="H925" s="3"/>
    </row>
    <row r="926" spans="4:8" ht="15.75" customHeight="1" x14ac:dyDescent="0.25">
      <c r="D926" s="2"/>
      <c r="F926" s="3"/>
      <c r="G926" s="2"/>
      <c r="H926" s="3"/>
    </row>
    <row r="927" spans="4:8" ht="15.75" customHeight="1" x14ac:dyDescent="0.25">
      <c r="D927" s="2"/>
      <c r="F927" s="3"/>
      <c r="G927" s="2"/>
      <c r="H927" s="3"/>
    </row>
    <row r="928" spans="4:8" ht="15.75" customHeight="1" x14ac:dyDescent="0.25">
      <c r="D928" s="2"/>
      <c r="F928" s="3"/>
      <c r="G928" s="2"/>
      <c r="H928" s="3"/>
    </row>
    <row r="929" spans="4:8" ht="15.75" customHeight="1" x14ac:dyDescent="0.25">
      <c r="D929" s="2"/>
      <c r="F929" s="3"/>
      <c r="G929" s="2"/>
      <c r="H929" s="3"/>
    </row>
    <row r="930" spans="4:8" ht="15.75" customHeight="1" x14ac:dyDescent="0.25">
      <c r="D930" s="2"/>
      <c r="F930" s="3"/>
      <c r="G930" s="2"/>
      <c r="H930" s="3"/>
    </row>
    <row r="931" spans="4:8" ht="15.75" customHeight="1" x14ac:dyDescent="0.25">
      <c r="D931" s="2"/>
      <c r="F931" s="3"/>
      <c r="G931" s="2"/>
      <c r="H931" s="3"/>
    </row>
    <row r="932" spans="4:8" ht="15.75" customHeight="1" x14ac:dyDescent="0.25">
      <c r="D932" s="2"/>
      <c r="F932" s="3"/>
      <c r="G932" s="2"/>
      <c r="H932" s="3"/>
    </row>
    <row r="933" spans="4:8" ht="15.75" customHeight="1" x14ac:dyDescent="0.25">
      <c r="D933" s="2"/>
      <c r="F933" s="3"/>
      <c r="G933" s="2"/>
      <c r="H933" s="3"/>
    </row>
    <row r="934" spans="4:8" ht="15.75" customHeight="1" x14ac:dyDescent="0.25">
      <c r="D934" s="2"/>
      <c r="F934" s="3"/>
      <c r="G934" s="2"/>
      <c r="H934" s="3"/>
    </row>
    <row r="935" spans="4:8" ht="15.75" customHeight="1" x14ac:dyDescent="0.25">
      <c r="D935" s="2"/>
      <c r="F935" s="3"/>
      <c r="G935" s="2"/>
      <c r="H935" s="3"/>
    </row>
    <row r="936" spans="4:8" ht="15.75" customHeight="1" x14ac:dyDescent="0.25">
      <c r="D936" s="2"/>
      <c r="F936" s="3"/>
      <c r="G936" s="2"/>
      <c r="H936" s="3"/>
    </row>
    <row r="937" spans="4:8" ht="15.75" customHeight="1" x14ac:dyDescent="0.25">
      <c r="D937" s="2"/>
      <c r="F937" s="3"/>
      <c r="G937" s="2"/>
      <c r="H937" s="3"/>
    </row>
    <row r="938" spans="4:8" ht="15.75" customHeight="1" x14ac:dyDescent="0.25">
      <c r="D938" s="2"/>
      <c r="F938" s="3"/>
      <c r="G938" s="2"/>
      <c r="H938" s="3"/>
    </row>
    <row r="939" spans="4:8" ht="15.75" customHeight="1" x14ac:dyDescent="0.25">
      <c r="D939" s="2"/>
      <c r="F939" s="3"/>
      <c r="G939" s="2"/>
      <c r="H939" s="3"/>
    </row>
    <row r="940" spans="4:8" ht="15.75" customHeight="1" x14ac:dyDescent="0.25">
      <c r="D940" s="2"/>
      <c r="F940" s="3"/>
      <c r="G940" s="2"/>
      <c r="H940" s="3"/>
    </row>
    <row r="941" spans="4:8" ht="15.75" customHeight="1" x14ac:dyDescent="0.25">
      <c r="D941" s="2"/>
      <c r="F941" s="3"/>
      <c r="G941" s="2"/>
      <c r="H941" s="3"/>
    </row>
    <row r="942" spans="4:8" ht="15.75" customHeight="1" x14ac:dyDescent="0.25">
      <c r="D942" s="2"/>
      <c r="F942" s="3"/>
      <c r="G942" s="2"/>
      <c r="H942" s="3"/>
    </row>
    <row r="943" spans="4:8" ht="15.75" customHeight="1" x14ac:dyDescent="0.25">
      <c r="D943" s="2"/>
      <c r="F943" s="3"/>
      <c r="G943" s="2"/>
      <c r="H943" s="3"/>
    </row>
    <row r="944" spans="4:8" ht="15.75" customHeight="1" x14ac:dyDescent="0.25">
      <c r="D944" s="2"/>
      <c r="F944" s="3"/>
      <c r="G944" s="2"/>
      <c r="H944" s="3"/>
    </row>
    <row r="945" spans="4:8" ht="15.75" customHeight="1" x14ac:dyDescent="0.25">
      <c r="D945" s="2"/>
      <c r="F945" s="3"/>
      <c r="G945" s="2"/>
      <c r="H945" s="3"/>
    </row>
    <row r="946" spans="4:8" ht="15.75" customHeight="1" x14ac:dyDescent="0.25">
      <c r="D946" s="2"/>
      <c r="F946" s="3"/>
      <c r="G946" s="2"/>
      <c r="H946" s="3"/>
    </row>
    <row r="947" spans="4:8" ht="15.75" customHeight="1" x14ac:dyDescent="0.25">
      <c r="D947" s="2"/>
      <c r="F947" s="3"/>
      <c r="G947" s="2"/>
      <c r="H947" s="3"/>
    </row>
    <row r="948" spans="4:8" ht="15.75" customHeight="1" x14ac:dyDescent="0.25">
      <c r="D948" s="2"/>
      <c r="F948" s="3"/>
      <c r="G948" s="2"/>
      <c r="H948" s="3"/>
    </row>
    <row r="949" spans="4:8" ht="15.75" customHeight="1" x14ac:dyDescent="0.25">
      <c r="D949" s="2"/>
      <c r="F949" s="3"/>
      <c r="G949" s="2"/>
      <c r="H949" s="3"/>
    </row>
    <row r="950" spans="4:8" ht="15.75" customHeight="1" x14ac:dyDescent="0.25">
      <c r="D950" s="2"/>
      <c r="F950" s="3"/>
      <c r="G950" s="2"/>
      <c r="H950" s="3"/>
    </row>
    <row r="951" spans="4:8" ht="15.75" customHeight="1" x14ac:dyDescent="0.25">
      <c r="D951" s="2"/>
      <c r="F951" s="3"/>
      <c r="G951" s="2"/>
      <c r="H951" s="3"/>
    </row>
    <row r="952" spans="4:8" ht="15.75" customHeight="1" x14ac:dyDescent="0.25">
      <c r="D952" s="2"/>
      <c r="F952" s="3"/>
      <c r="G952" s="2"/>
      <c r="H952" s="3"/>
    </row>
    <row r="953" spans="4:8" ht="15.75" customHeight="1" x14ac:dyDescent="0.25">
      <c r="D953" s="2"/>
      <c r="F953" s="3"/>
      <c r="G953" s="2"/>
      <c r="H953" s="3"/>
    </row>
    <row r="954" spans="4:8" ht="15.75" customHeight="1" x14ac:dyDescent="0.25">
      <c r="D954" s="2"/>
      <c r="F954" s="3"/>
      <c r="G954" s="2"/>
      <c r="H954" s="3"/>
    </row>
    <row r="955" spans="4:8" ht="15.75" customHeight="1" x14ac:dyDescent="0.25">
      <c r="D955" s="2"/>
      <c r="F955" s="3"/>
      <c r="G955" s="2"/>
      <c r="H955" s="3"/>
    </row>
    <row r="956" spans="4:8" ht="15.75" customHeight="1" x14ac:dyDescent="0.25">
      <c r="D956" s="2"/>
      <c r="F956" s="3"/>
      <c r="G956" s="2"/>
      <c r="H956" s="3"/>
    </row>
    <row r="957" spans="4:8" ht="15.75" customHeight="1" x14ac:dyDescent="0.25">
      <c r="D957" s="2"/>
      <c r="F957" s="3"/>
      <c r="G957" s="2"/>
      <c r="H957" s="3"/>
    </row>
    <row r="958" spans="4:8" ht="15.75" customHeight="1" x14ac:dyDescent="0.25">
      <c r="D958" s="2"/>
      <c r="F958" s="3"/>
      <c r="G958" s="2"/>
      <c r="H958" s="3"/>
    </row>
    <row r="959" spans="4:8" ht="15.75" customHeight="1" x14ac:dyDescent="0.25">
      <c r="D959" s="2"/>
      <c r="F959" s="3"/>
      <c r="G959" s="2"/>
      <c r="H959" s="3"/>
    </row>
    <row r="960" spans="4:8" ht="15.75" customHeight="1" x14ac:dyDescent="0.25">
      <c r="D960" s="2"/>
      <c r="F960" s="3"/>
      <c r="G960" s="2"/>
      <c r="H960" s="3"/>
    </row>
    <row r="961" spans="4:8" ht="15.75" customHeight="1" x14ac:dyDescent="0.25">
      <c r="D961" s="2"/>
      <c r="F961" s="3"/>
      <c r="G961" s="2"/>
      <c r="H961" s="3"/>
    </row>
    <row r="962" spans="4:8" ht="15.75" customHeight="1" x14ac:dyDescent="0.25">
      <c r="D962" s="2"/>
      <c r="F962" s="3"/>
      <c r="G962" s="2"/>
      <c r="H962" s="3"/>
    </row>
    <row r="963" spans="4:8" ht="15.75" customHeight="1" x14ac:dyDescent="0.25">
      <c r="D963" s="2"/>
      <c r="F963" s="3"/>
      <c r="G963" s="2"/>
      <c r="H963" s="3"/>
    </row>
    <row r="964" spans="4:8" ht="15.75" customHeight="1" x14ac:dyDescent="0.25">
      <c r="D964" s="2"/>
      <c r="F964" s="3"/>
      <c r="G964" s="2"/>
      <c r="H964" s="3"/>
    </row>
    <row r="965" spans="4:8" ht="15.75" customHeight="1" x14ac:dyDescent="0.25">
      <c r="D965" s="2"/>
      <c r="F965" s="3"/>
      <c r="G965" s="2"/>
      <c r="H965" s="3"/>
    </row>
    <row r="966" spans="4:8" ht="15.75" customHeight="1" x14ac:dyDescent="0.25">
      <c r="D966" s="2"/>
      <c r="F966" s="3"/>
      <c r="G966" s="2"/>
      <c r="H966" s="3"/>
    </row>
    <row r="967" spans="4:8" ht="15.75" customHeight="1" x14ac:dyDescent="0.25">
      <c r="D967" s="2"/>
      <c r="F967" s="3"/>
      <c r="G967" s="2"/>
      <c r="H967" s="3"/>
    </row>
    <row r="968" spans="4:8" ht="15.75" customHeight="1" x14ac:dyDescent="0.25">
      <c r="D968" s="2"/>
      <c r="F968" s="3"/>
      <c r="G968" s="2"/>
      <c r="H968" s="3"/>
    </row>
    <row r="969" spans="4:8" ht="15.75" customHeight="1" x14ac:dyDescent="0.25">
      <c r="D969" s="2"/>
      <c r="F969" s="3"/>
      <c r="G969" s="2"/>
      <c r="H969" s="3"/>
    </row>
    <row r="970" spans="4:8" ht="15.75" customHeight="1" x14ac:dyDescent="0.25">
      <c r="D970" s="2"/>
      <c r="F970" s="3"/>
      <c r="G970" s="2"/>
      <c r="H970" s="3"/>
    </row>
    <row r="971" spans="4:8" ht="15.75" customHeight="1" x14ac:dyDescent="0.25">
      <c r="D971" s="2"/>
      <c r="F971" s="3"/>
      <c r="G971" s="2"/>
      <c r="H971" s="3"/>
    </row>
    <row r="972" spans="4:8" ht="15.75" customHeight="1" x14ac:dyDescent="0.25">
      <c r="D972" s="2"/>
      <c r="F972" s="3"/>
      <c r="G972" s="2"/>
      <c r="H972" s="3"/>
    </row>
    <row r="973" spans="4:8" ht="15.75" customHeight="1" x14ac:dyDescent="0.25">
      <c r="D973" s="2"/>
      <c r="F973" s="3"/>
      <c r="G973" s="2"/>
      <c r="H973" s="3"/>
    </row>
    <row r="974" spans="4:8" ht="15.75" customHeight="1" x14ac:dyDescent="0.25">
      <c r="D974" s="2"/>
      <c r="F974" s="3"/>
      <c r="G974" s="2"/>
      <c r="H974" s="3"/>
    </row>
    <row r="975" spans="4:8" ht="15.75" customHeight="1" x14ac:dyDescent="0.25">
      <c r="D975" s="2"/>
      <c r="F975" s="3"/>
      <c r="G975" s="2"/>
      <c r="H975" s="3"/>
    </row>
    <row r="976" spans="4:8" ht="15.75" customHeight="1" x14ac:dyDescent="0.25">
      <c r="D976" s="2"/>
      <c r="F976" s="3"/>
      <c r="G976" s="2"/>
      <c r="H976" s="3"/>
    </row>
    <row r="977" spans="4:8" ht="15.75" customHeight="1" x14ac:dyDescent="0.25">
      <c r="D977" s="2"/>
      <c r="F977" s="3"/>
      <c r="G977" s="2"/>
      <c r="H977" s="3"/>
    </row>
    <row r="978" spans="4:8" ht="15.75" customHeight="1" x14ac:dyDescent="0.25">
      <c r="D978" s="2"/>
      <c r="F978" s="3"/>
      <c r="G978" s="2"/>
      <c r="H978" s="3"/>
    </row>
    <row r="979" spans="4:8" ht="15.75" customHeight="1" x14ac:dyDescent="0.25">
      <c r="D979" s="2"/>
      <c r="F979" s="3"/>
      <c r="G979" s="2"/>
      <c r="H979" s="3"/>
    </row>
    <row r="980" spans="4:8" ht="15.75" customHeight="1" x14ac:dyDescent="0.25">
      <c r="D980" s="2"/>
      <c r="F980" s="3"/>
      <c r="G980" s="2"/>
      <c r="H980" s="3"/>
    </row>
    <row r="981" spans="4:8" ht="15.75" customHeight="1" x14ac:dyDescent="0.25">
      <c r="D981" s="2"/>
      <c r="F981" s="3"/>
      <c r="G981" s="2"/>
      <c r="H981" s="3"/>
    </row>
    <row r="982" spans="4:8" ht="15.75" customHeight="1" x14ac:dyDescent="0.25">
      <c r="D982" s="2"/>
      <c r="F982" s="3"/>
      <c r="G982" s="2"/>
      <c r="H982" s="3"/>
    </row>
    <row r="983" spans="4:8" ht="15.75" customHeight="1" x14ac:dyDescent="0.25">
      <c r="D983" s="2"/>
      <c r="F983" s="3"/>
      <c r="G983" s="2"/>
      <c r="H983" s="3"/>
    </row>
    <row r="984" spans="4:8" ht="15.75" customHeight="1" x14ac:dyDescent="0.25">
      <c r="D984" s="2"/>
      <c r="F984" s="3"/>
      <c r="G984" s="2"/>
      <c r="H984" s="3"/>
    </row>
    <row r="985" spans="4:8" ht="15.75" customHeight="1" x14ac:dyDescent="0.25">
      <c r="D985" s="2"/>
      <c r="F985" s="3"/>
      <c r="G985" s="2"/>
      <c r="H985" s="3"/>
    </row>
    <row r="986" spans="4:8" ht="15.75" customHeight="1" x14ac:dyDescent="0.25">
      <c r="D986" s="2"/>
      <c r="F986" s="3"/>
      <c r="G986" s="2"/>
      <c r="H986" s="3"/>
    </row>
    <row r="987" spans="4:8" ht="15.75" customHeight="1" x14ac:dyDescent="0.25">
      <c r="D987" s="2"/>
      <c r="F987" s="3"/>
      <c r="G987" s="2"/>
      <c r="H987" s="3"/>
    </row>
    <row r="988" spans="4:8" ht="15.75" customHeight="1" x14ac:dyDescent="0.25">
      <c r="D988" s="2"/>
      <c r="F988" s="3"/>
      <c r="G988" s="2"/>
      <c r="H988" s="3"/>
    </row>
    <row r="989" spans="4:8" ht="15.75" customHeight="1" x14ac:dyDescent="0.25">
      <c r="D989" s="2"/>
      <c r="F989" s="3"/>
      <c r="G989" s="2"/>
      <c r="H989" s="3"/>
    </row>
    <row r="990" spans="4:8" ht="15.75" customHeight="1" x14ac:dyDescent="0.25">
      <c r="D990" s="2"/>
      <c r="F990" s="3"/>
      <c r="G990" s="2"/>
      <c r="H990" s="3"/>
    </row>
    <row r="991" spans="4:8" ht="15.75" customHeight="1" x14ac:dyDescent="0.25">
      <c r="D991" s="2"/>
      <c r="F991" s="3"/>
      <c r="G991" s="2"/>
      <c r="H991" s="3"/>
    </row>
    <row r="992" spans="4:8" ht="15.75" customHeight="1" x14ac:dyDescent="0.25">
      <c r="D992" s="2"/>
      <c r="F992" s="3"/>
      <c r="G992" s="2"/>
      <c r="H992" s="3"/>
    </row>
    <row r="993" spans="4:8" ht="15.75" customHeight="1" x14ac:dyDescent="0.25">
      <c r="D993" s="2"/>
      <c r="F993" s="3"/>
      <c r="G993" s="2"/>
      <c r="H993" s="3"/>
    </row>
    <row r="994" spans="4:8" ht="15.75" customHeight="1" x14ac:dyDescent="0.25">
      <c r="D994" s="2"/>
      <c r="F994" s="3"/>
      <c r="G994" s="2"/>
      <c r="H994" s="3"/>
    </row>
    <row r="995" spans="4:8" ht="15.75" customHeight="1" x14ac:dyDescent="0.25">
      <c r="D995" s="2"/>
      <c r="F995" s="3"/>
      <c r="G995" s="2"/>
      <c r="H995" s="3"/>
    </row>
    <row r="996" spans="4:8" ht="15.75" customHeight="1" x14ac:dyDescent="0.25">
      <c r="D996" s="2"/>
      <c r="F996" s="3"/>
      <c r="G996" s="2"/>
      <c r="H996" s="3"/>
    </row>
    <row r="997" spans="4:8" ht="15.75" customHeight="1" x14ac:dyDescent="0.25">
      <c r="D997" s="2"/>
      <c r="F997" s="3"/>
      <c r="G997" s="2"/>
      <c r="H997" s="3"/>
    </row>
    <row r="998" spans="4:8" ht="15.75" customHeight="1" x14ac:dyDescent="0.25">
      <c r="D998" s="2"/>
      <c r="F998" s="3"/>
      <c r="G998" s="2"/>
      <c r="H998" s="3"/>
    </row>
    <row r="999" spans="4:8" ht="15.75" customHeight="1" x14ac:dyDescent="0.25">
      <c r="D999" s="2"/>
      <c r="F999" s="3"/>
      <c r="G999" s="2"/>
      <c r="H999" s="3"/>
    </row>
    <row r="1000" spans="4:8" ht="15.75" customHeight="1" x14ac:dyDescent="0.25">
      <c r="D1000" s="2"/>
      <c r="F1000" s="3"/>
      <c r="G1000" s="2"/>
      <c r="H1000" s="3"/>
    </row>
    <row r="1001" spans="4:8" ht="15.75" customHeight="1" x14ac:dyDescent="0.25">
      <c r="D1001" s="2"/>
      <c r="F1001" s="3"/>
      <c r="G1001" s="2"/>
      <c r="H1001" s="3"/>
    </row>
  </sheetData>
  <autoFilter ref="A1:AA1001" xr:uid="{5CB5E484-3B91-44AF-BCB6-7B37C60DB3FC}"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</autoFilter>
  <mergeCells count="4">
    <mergeCell ref="B1:J1"/>
    <mergeCell ref="B38:J38"/>
    <mergeCell ref="B45:J45"/>
    <mergeCell ref="B154:J154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Indikator Mutu 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Susila Windarta</dc:creator>
  <cp:lastModifiedBy>Arizal Arfah</cp:lastModifiedBy>
  <dcterms:created xsi:type="dcterms:W3CDTF">2026-01-02T01:57:12Z</dcterms:created>
  <dcterms:modified xsi:type="dcterms:W3CDTF">2026-04-20T06:07:21Z</dcterms:modified>
</cp:coreProperties>
</file>